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18-2019\Lectures\Lecture_3\"/>
    </mc:Choice>
  </mc:AlternateContent>
  <xr:revisionPtr revIDLastSave="0" documentId="13_ncr:1_{98DFF59E-C745-46B0-929B-5B94D5F704FB}" xr6:coauthVersionLast="36" xr6:coauthVersionMax="36" xr10:uidLastSave="{00000000-0000-0000-0000-000000000000}"/>
  <bookViews>
    <workbookView xWindow="120" yWindow="120" windowWidth="11910" windowHeight="5580" activeTab="1" xr2:uid="{00000000-000D-0000-FFFF-FFFF00000000}"/>
  </bookViews>
  <sheets>
    <sheet name="Database" sheetId="1" r:id="rId1"/>
    <sheet name="UserData" sheetId="2" r:id="rId2"/>
    <sheet name="Calculations" sheetId="3" r:id="rId3"/>
    <sheet name="Data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4" i="3" l="1"/>
  <c r="H2" i="3"/>
  <c r="H5" i="3"/>
  <c r="H6" i="3"/>
  <c r="H7" i="3"/>
  <c r="H8" i="3"/>
  <c r="H9" i="3"/>
  <c r="H10" i="3"/>
  <c r="H11" i="3"/>
  <c r="H3" i="3"/>
  <c r="G4" i="3"/>
  <c r="G2" i="3"/>
  <c r="G5" i="3"/>
  <c r="G6" i="3"/>
  <c r="G7" i="3"/>
  <c r="G8" i="3"/>
  <c r="G9" i="3"/>
  <c r="G10" i="3"/>
  <c r="G11" i="3"/>
  <c r="J11" i="3" l="1"/>
  <c r="J9" i="3"/>
  <c r="J7" i="3"/>
  <c r="J5" i="3"/>
  <c r="J4" i="3"/>
  <c r="J10" i="3"/>
  <c r="J8" i="3"/>
  <c r="J6" i="3"/>
  <c r="J2" i="3"/>
  <c r="G3" i="3"/>
  <c r="J3" i="3" s="1"/>
  <c r="J13" i="3" l="1"/>
  <c r="I3" i="3"/>
  <c r="I10" i="3"/>
  <c r="I8" i="3"/>
  <c r="I6" i="3"/>
  <c r="I2" i="3"/>
  <c r="I11" i="3"/>
  <c r="I9" i="3"/>
  <c r="I7" i="3"/>
  <c r="I5" i="3"/>
  <c r="I4" i="3"/>
</calcChain>
</file>

<file path=xl/sharedStrings.xml><?xml version="1.0" encoding="utf-8"?>
<sst xmlns="http://schemas.openxmlformats.org/spreadsheetml/2006/main" count="101" uniqueCount="51">
  <si>
    <t>Car 10</t>
  </si>
  <si>
    <t>Engine</t>
  </si>
  <si>
    <t>Price</t>
  </si>
  <si>
    <t>Total</t>
  </si>
  <si>
    <t>Car</t>
  </si>
  <si>
    <t>Car 01</t>
  </si>
  <si>
    <t>Car 02</t>
  </si>
  <si>
    <t>Car 03</t>
  </si>
  <si>
    <t>Car 04</t>
  </si>
  <si>
    <t>Car 05</t>
  </si>
  <si>
    <t>Car 06</t>
  </si>
  <si>
    <t>Car 07</t>
  </si>
  <si>
    <t>Car 08</t>
  </si>
  <si>
    <t>Car 09</t>
  </si>
  <si>
    <t>Price ranges</t>
  </si>
  <si>
    <t>Values</t>
  </si>
  <si>
    <t>Importance (1-10)</t>
  </si>
  <si>
    <t>Hyperlink</t>
  </si>
  <si>
    <t>Picture</t>
  </si>
  <si>
    <t>Comment</t>
  </si>
  <si>
    <t>Car01.jpg</t>
  </si>
  <si>
    <t>Nice car</t>
  </si>
  <si>
    <t>http://www.google.com</t>
  </si>
  <si>
    <t>Car05.jpg</t>
  </si>
  <si>
    <t>Powerful</t>
  </si>
  <si>
    <t>http://www.microsoft.com</t>
  </si>
  <si>
    <t>Car04.jpg</t>
  </si>
  <si>
    <t>Fast car</t>
  </si>
  <si>
    <t>http://www.yahoo.com</t>
  </si>
  <si>
    <t>Car10.jpg</t>
  </si>
  <si>
    <t>Modern car</t>
  </si>
  <si>
    <t>http://www.unimaas.nl</t>
  </si>
  <si>
    <t>Car09.jpg</t>
  </si>
  <si>
    <t>Old car</t>
  </si>
  <si>
    <t>http://www.wikipedia.com</t>
  </si>
  <si>
    <t>Car08.jpg</t>
  </si>
  <si>
    <t>Beauty</t>
  </si>
  <si>
    <t>http://www.imdb.com</t>
  </si>
  <si>
    <t>Car07.jpg</t>
  </si>
  <si>
    <t>So so</t>
  </si>
  <si>
    <t>http://www.cnn.com</t>
  </si>
  <si>
    <t>Car06.jpg</t>
  </si>
  <si>
    <t>Tiger</t>
  </si>
  <si>
    <t>http://www.abc.com</t>
  </si>
  <si>
    <t>Car03.jpg</t>
  </si>
  <si>
    <t>Expensive car</t>
  </si>
  <si>
    <t>http://www.bbc.com</t>
  </si>
  <si>
    <t>Car02.jpg</t>
  </si>
  <si>
    <t>Slow car</t>
  </si>
  <si>
    <t>http://www.eleum.unimaas.nl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</si>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</sst>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u/>
      <sz val="10"/>
      <color indexed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22">
    <xf numFmtId="0" fontId="0" fillId="0" borderId="0" xfId="0"/>
    <xf numFmtId="0" fontId="2" fillId="0" borderId="0" xfId="0" applyFont="1" applyBorder="1"/>
    <xf numFmtId="0" fontId="0" fillId="0" borderId="0" xfId="0" applyBorder="1"/>
    <xf numFmtId="1" fontId="0" fillId="0" borderId="0" xfId="0" applyNumberFormat="1" applyBorder="1"/>
    <xf numFmtId="0" fontId="4" fillId="0" borderId="0" xfId="0" applyFont="1" applyAlignment="1">
      <alignment horizontal="left" readingOrder="1"/>
    </xf>
    <xf numFmtId="0" fontId="0" fillId="0" borderId="0" xfId="0" applyFill="1" applyBorder="1"/>
    <xf numFmtId="0" fontId="2" fillId="0" borderId="0" xfId="0" applyFont="1"/>
    <xf numFmtId="0" fontId="2" fillId="0" borderId="0" xfId="0" applyFont="1" applyFill="1" applyBorder="1"/>
    <xf numFmtId="0" fontId="0" fillId="0" borderId="0" xfId="0" applyFill="1"/>
    <xf numFmtId="0" fontId="0" fillId="0" borderId="0" xfId="0" applyNumberFormat="1" applyFill="1" applyBorder="1"/>
    <xf numFmtId="0" fontId="0" fillId="0" borderId="0" xfId="0" applyNumberForma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3" fillId="0" borderId="0" xfId="0" applyFont="1" applyFill="1" applyBorder="1"/>
    <xf numFmtId="0" fontId="0" fillId="2" borderId="0" xfId="0" applyNumberFormat="1" applyFill="1"/>
    <xf numFmtId="0" fontId="0" fillId="2" borderId="0" xfId="0" applyFill="1"/>
    <xf numFmtId="0" fontId="0" fillId="3" borderId="0" xfId="0" applyFill="1"/>
    <xf numFmtId="0" fontId="5" fillId="0" borderId="0" xfId="1" applyAlignment="1" applyProtection="1"/>
    <xf numFmtId="0" fontId="2" fillId="4" borderId="0" xfId="0" applyFont="1" applyFill="1" applyBorder="1"/>
    <xf numFmtId="0" fontId="0" fillId="4" borderId="0" xfId="0" applyFill="1" applyBorder="1"/>
    <xf numFmtId="0" fontId="0" fillId="4" borderId="0" xfId="0" applyFill="1"/>
    <xf numFmtId="0" fontId="5" fillId="4" borderId="0" xfId="1" applyFill="1" applyAlignment="1" applyProtection="1"/>
    <xf numFmtId="0" fontId="0" fillId="0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bc.com/" TargetMode="External"/><Relationship Id="rId3" Type="http://schemas.openxmlformats.org/officeDocument/2006/relationships/hyperlink" Target="http://www.imdb.com/" TargetMode="External"/><Relationship Id="rId7" Type="http://schemas.openxmlformats.org/officeDocument/2006/relationships/hyperlink" Target="http://www.yahoo.com/" TargetMode="External"/><Relationship Id="rId2" Type="http://schemas.openxmlformats.org/officeDocument/2006/relationships/hyperlink" Target="http://www.wikipedia.com/" TargetMode="External"/><Relationship Id="rId1" Type="http://schemas.openxmlformats.org/officeDocument/2006/relationships/hyperlink" Target="http://www.google.com/" TargetMode="External"/><Relationship Id="rId6" Type="http://schemas.openxmlformats.org/officeDocument/2006/relationships/hyperlink" Target="http://www.microsoft.com/" TargetMode="External"/><Relationship Id="rId11" Type="http://schemas.openxmlformats.org/officeDocument/2006/relationships/printerSettings" Target="../printerSettings/printerSettings1.bin"/><Relationship Id="rId5" Type="http://schemas.openxmlformats.org/officeDocument/2006/relationships/hyperlink" Target="http://www.abc.com/" TargetMode="External"/><Relationship Id="rId10" Type="http://schemas.openxmlformats.org/officeDocument/2006/relationships/hyperlink" Target="http://www.eleum.unimaas.nl/" TargetMode="External"/><Relationship Id="rId4" Type="http://schemas.openxmlformats.org/officeDocument/2006/relationships/hyperlink" Target="http://www.cnn.com/" TargetMode="External"/><Relationship Id="rId9" Type="http://schemas.openxmlformats.org/officeDocument/2006/relationships/hyperlink" Target="http://www.unimaas.nl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bc.com/" TargetMode="External"/><Relationship Id="rId3" Type="http://schemas.openxmlformats.org/officeDocument/2006/relationships/hyperlink" Target="http://www.imdb.com/" TargetMode="External"/><Relationship Id="rId7" Type="http://schemas.openxmlformats.org/officeDocument/2006/relationships/hyperlink" Target="http://www.yahoo.com/" TargetMode="External"/><Relationship Id="rId2" Type="http://schemas.openxmlformats.org/officeDocument/2006/relationships/hyperlink" Target="http://www.wikipedia.com/" TargetMode="External"/><Relationship Id="rId1" Type="http://schemas.openxmlformats.org/officeDocument/2006/relationships/hyperlink" Target="http://www.google.com/" TargetMode="External"/><Relationship Id="rId6" Type="http://schemas.openxmlformats.org/officeDocument/2006/relationships/hyperlink" Target="http://www.microsoft.com/" TargetMode="External"/><Relationship Id="rId5" Type="http://schemas.openxmlformats.org/officeDocument/2006/relationships/hyperlink" Target="http://www.abc.com/" TargetMode="External"/><Relationship Id="rId10" Type="http://schemas.openxmlformats.org/officeDocument/2006/relationships/hyperlink" Target="http://www.eleum.unimaas.nl/" TargetMode="External"/><Relationship Id="rId4" Type="http://schemas.openxmlformats.org/officeDocument/2006/relationships/hyperlink" Target="http://www.cnn.com/" TargetMode="External"/><Relationship Id="rId9" Type="http://schemas.openxmlformats.org/officeDocument/2006/relationships/hyperlink" Target="http://www.unimaas.n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7"/>
  <sheetViews>
    <sheetView workbookViewId="0">
      <selection activeCell="N18" sqref="N18"/>
    </sheetView>
  </sheetViews>
  <sheetFormatPr defaultRowHeight="12.75" x14ac:dyDescent="0.2"/>
  <cols>
    <col min="5" max="5" width="10.5703125" customWidth="1"/>
  </cols>
  <sheetData>
    <row r="1" spans="1:6" x14ac:dyDescent="0.2">
      <c r="A1" s="1" t="s">
        <v>4</v>
      </c>
      <c r="B1" s="1" t="s">
        <v>1</v>
      </c>
      <c r="C1" s="1" t="s">
        <v>2</v>
      </c>
      <c r="D1" s="7" t="s">
        <v>18</v>
      </c>
      <c r="E1" s="7" t="s">
        <v>19</v>
      </c>
      <c r="F1" s="7" t="s">
        <v>17</v>
      </c>
    </row>
    <row r="2" spans="1:6" x14ac:dyDescent="0.2">
      <c r="A2" s="2" t="s">
        <v>5</v>
      </c>
      <c r="B2" s="2">
        <v>1.2</v>
      </c>
      <c r="C2" s="2">
        <v>10000</v>
      </c>
      <c r="D2" s="2" t="s">
        <v>20</v>
      </c>
      <c r="E2" t="s">
        <v>21</v>
      </c>
      <c r="F2" s="16" t="s">
        <v>22</v>
      </c>
    </row>
    <row r="3" spans="1:6" x14ac:dyDescent="0.2">
      <c r="A3" s="2" t="s">
        <v>6</v>
      </c>
      <c r="B3" s="2">
        <v>1.3</v>
      </c>
      <c r="C3" s="2">
        <v>11000</v>
      </c>
      <c r="D3" s="2" t="s">
        <v>47</v>
      </c>
      <c r="E3" t="s">
        <v>48</v>
      </c>
      <c r="F3" s="16" t="s">
        <v>49</v>
      </c>
    </row>
    <row r="4" spans="1:6" x14ac:dyDescent="0.2">
      <c r="A4" s="2" t="s">
        <v>7</v>
      </c>
      <c r="B4" s="2">
        <v>1.4</v>
      </c>
      <c r="C4" s="2">
        <v>10000</v>
      </c>
      <c r="D4" s="2" t="s">
        <v>44</v>
      </c>
      <c r="E4" t="s">
        <v>45</v>
      </c>
      <c r="F4" s="16" t="s">
        <v>46</v>
      </c>
    </row>
    <row r="5" spans="1:6" x14ac:dyDescent="0.2">
      <c r="A5" s="2" t="s">
        <v>8</v>
      </c>
      <c r="B5" s="2">
        <v>1.5</v>
      </c>
      <c r="C5" s="2">
        <v>13000</v>
      </c>
      <c r="D5" s="2" t="s">
        <v>26</v>
      </c>
      <c r="E5" t="s">
        <v>27</v>
      </c>
      <c r="F5" s="16" t="s">
        <v>28</v>
      </c>
    </row>
    <row r="6" spans="1:6" x14ac:dyDescent="0.2">
      <c r="A6" s="2" t="s">
        <v>9</v>
      </c>
      <c r="B6" s="2">
        <v>1.6</v>
      </c>
      <c r="C6" s="2">
        <v>14000</v>
      </c>
      <c r="D6" s="2" t="s">
        <v>23</v>
      </c>
      <c r="E6" t="s">
        <v>24</v>
      </c>
      <c r="F6" s="16" t="s">
        <v>25</v>
      </c>
    </row>
    <row r="7" spans="1:6" x14ac:dyDescent="0.2">
      <c r="A7" s="2" t="s">
        <v>10</v>
      </c>
      <c r="B7" s="2">
        <v>1.7</v>
      </c>
      <c r="C7" s="2">
        <v>15000</v>
      </c>
      <c r="D7" s="2" t="s">
        <v>41</v>
      </c>
      <c r="E7" t="s">
        <v>42</v>
      </c>
      <c r="F7" s="16" t="s">
        <v>43</v>
      </c>
    </row>
    <row r="8" spans="1:6" x14ac:dyDescent="0.2">
      <c r="A8" s="2" t="s">
        <v>11</v>
      </c>
      <c r="B8" s="2">
        <v>1.8</v>
      </c>
      <c r="C8" s="2">
        <v>12000</v>
      </c>
      <c r="D8" s="2" t="s">
        <v>38</v>
      </c>
      <c r="E8" t="s">
        <v>39</v>
      </c>
      <c r="F8" s="16" t="s">
        <v>40</v>
      </c>
    </row>
    <row r="9" spans="1:6" x14ac:dyDescent="0.2">
      <c r="A9" s="2" t="s">
        <v>12</v>
      </c>
      <c r="B9" s="2">
        <v>1.9</v>
      </c>
      <c r="C9" s="2">
        <v>17000</v>
      </c>
      <c r="D9" s="2" t="s">
        <v>35</v>
      </c>
      <c r="E9" t="s">
        <v>36</v>
      </c>
      <c r="F9" s="16" t="s">
        <v>37</v>
      </c>
    </row>
    <row r="10" spans="1:6" x14ac:dyDescent="0.2">
      <c r="A10" s="2" t="s">
        <v>13</v>
      </c>
      <c r="B10" s="2">
        <v>2</v>
      </c>
      <c r="C10" s="2">
        <v>18000</v>
      </c>
      <c r="D10" s="2" t="s">
        <v>32</v>
      </c>
      <c r="E10" t="s">
        <v>33</v>
      </c>
      <c r="F10" s="16" t="s">
        <v>34</v>
      </c>
    </row>
    <row r="11" spans="1:6" x14ac:dyDescent="0.2">
      <c r="A11" s="2" t="s">
        <v>0</v>
      </c>
      <c r="B11" s="2">
        <v>2.1</v>
      </c>
      <c r="C11" s="2">
        <v>19000</v>
      </c>
      <c r="D11" s="2" t="s">
        <v>29</v>
      </c>
      <c r="E11" t="s">
        <v>30</v>
      </c>
      <c r="F11" s="16" t="s">
        <v>31</v>
      </c>
    </row>
    <row r="12" spans="1:6" x14ac:dyDescent="0.2">
      <c r="A12" s="2"/>
      <c r="B12" s="2"/>
      <c r="C12" s="2"/>
      <c r="D12" s="2"/>
    </row>
    <row r="13" spans="1:6" x14ac:dyDescent="0.2">
      <c r="A13" s="2"/>
      <c r="B13" s="2"/>
      <c r="C13" s="2"/>
      <c r="D13" s="2"/>
    </row>
    <row r="14" spans="1:6" x14ac:dyDescent="0.2">
      <c r="B14" s="2"/>
      <c r="C14" s="2"/>
      <c r="D14" s="2"/>
    </row>
    <row r="15" spans="1:6" x14ac:dyDescent="0.2">
      <c r="B15" s="2"/>
      <c r="C15" s="2"/>
      <c r="D15" s="2"/>
    </row>
    <row r="16" spans="1:6" x14ac:dyDescent="0.2">
      <c r="B16" s="2"/>
      <c r="C16" s="2"/>
      <c r="D16" s="2"/>
    </row>
    <row r="17" spans="2:4" x14ac:dyDescent="0.2">
      <c r="B17" s="2"/>
      <c r="C17" s="2"/>
      <c r="D17" s="2"/>
    </row>
  </sheetData>
  <sortState ref="D2:F11">
    <sortCondition ref="D2:D11"/>
  </sortState>
  <phoneticPr fontId="1" type="noConversion"/>
  <hyperlinks>
    <hyperlink ref="F2" r:id="rId1" xr:uid="{00000000-0004-0000-0000-000000000000}"/>
    <hyperlink ref="F10" r:id="rId2" xr:uid="{00000000-0004-0000-0000-000001000000}"/>
    <hyperlink ref="F9" r:id="rId3" xr:uid="{00000000-0004-0000-0000-000002000000}"/>
    <hyperlink ref="F8" r:id="rId4" xr:uid="{00000000-0004-0000-0000-000003000000}"/>
    <hyperlink ref="F7" r:id="rId5" xr:uid="{00000000-0004-0000-0000-000004000000}"/>
    <hyperlink ref="F6" r:id="rId6" xr:uid="{00000000-0004-0000-0000-000005000000}"/>
    <hyperlink ref="F5" r:id="rId7" xr:uid="{00000000-0004-0000-0000-000006000000}"/>
    <hyperlink ref="F4" r:id="rId8" xr:uid="{00000000-0004-0000-0000-000007000000}"/>
    <hyperlink ref="F11" r:id="rId9" xr:uid="{00000000-0004-0000-0000-000008000000}"/>
    <hyperlink ref="F3" r:id="rId10" xr:uid="{00000000-0004-0000-0000-000009000000}"/>
  </hyperlinks>
  <pageMargins left="0.75" right="0.75" top="1" bottom="1" header="0.5" footer="0.5"/>
  <pageSetup paperSize="9" orientation="portrait" r:id="rId1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3"/>
  <sheetViews>
    <sheetView tabSelected="1" workbookViewId="0">
      <selection activeCell="B3" sqref="B3"/>
    </sheetView>
  </sheetViews>
  <sheetFormatPr defaultRowHeight="12.75" x14ac:dyDescent="0.2"/>
  <cols>
    <col min="3" max="3" width="18.85546875" customWidth="1"/>
  </cols>
  <sheetData>
    <row r="1" spans="1:3" x14ac:dyDescent="0.2">
      <c r="B1" s="6" t="s">
        <v>15</v>
      </c>
      <c r="C1" s="6" t="s">
        <v>16</v>
      </c>
    </row>
    <row r="2" spans="1:3" x14ac:dyDescent="0.2">
      <c r="A2" s="1" t="s">
        <v>2</v>
      </c>
      <c r="B2" s="13">
        <v>13000</v>
      </c>
      <c r="C2" s="15">
        <v>5</v>
      </c>
    </row>
    <row r="3" spans="1:3" x14ac:dyDescent="0.2">
      <c r="A3" s="1" t="s">
        <v>1</v>
      </c>
      <c r="B3" s="14">
        <v>1.3</v>
      </c>
      <c r="C3" s="15">
        <v>5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25"/>
  <sheetViews>
    <sheetView topLeftCell="E1" workbookViewId="0">
      <selection activeCell="H15" sqref="H15"/>
    </sheetView>
  </sheetViews>
  <sheetFormatPr defaultColWidth="9.140625" defaultRowHeight="12.75" x14ac:dyDescent="0.2"/>
  <cols>
    <col min="1" max="3" width="9.140625" style="8"/>
    <col min="4" max="4" width="8.85546875" style="8" bestFit="1" customWidth="1"/>
    <col min="5" max="5" width="12.5703125" style="8" bestFit="1" customWidth="1"/>
    <col min="6" max="6" width="25.28515625" style="8" bestFit="1" customWidth="1"/>
    <col min="7" max="9" width="9.7109375" style="8" customWidth="1"/>
    <col min="10" max="10" width="9.140625" style="8"/>
    <col min="11" max="11" width="9.42578125" style="8" customWidth="1"/>
    <col min="12" max="16384" width="9.140625" style="8"/>
  </cols>
  <sheetData>
    <row r="1" spans="1:15" x14ac:dyDescent="0.2">
      <c r="A1" s="17" t="s">
        <v>4</v>
      </c>
      <c r="B1" s="17" t="s">
        <v>1</v>
      </c>
      <c r="C1" s="17" t="s">
        <v>2</v>
      </c>
      <c r="D1" s="17" t="s">
        <v>18</v>
      </c>
      <c r="E1" s="17" t="s">
        <v>19</v>
      </c>
      <c r="F1" s="17" t="s">
        <v>17</v>
      </c>
      <c r="G1" s="7" t="s">
        <v>1</v>
      </c>
      <c r="H1" s="7" t="s">
        <v>2</v>
      </c>
      <c r="I1" s="7" t="s">
        <v>3</v>
      </c>
      <c r="J1" s="7"/>
      <c r="K1" s="7"/>
      <c r="L1" s="7"/>
      <c r="M1" s="7"/>
      <c r="N1" s="7"/>
      <c r="O1" s="7"/>
    </row>
    <row r="2" spans="1:15" x14ac:dyDescent="0.2">
      <c r="A2" s="18" t="s">
        <v>7</v>
      </c>
      <c r="B2" s="18">
        <v>1.4</v>
      </c>
      <c r="C2" s="18">
        <v>10000</v>
      </c>
      <c r="D2" s="18" t="s">
        <v>44</v>
      </c>
      <c r="E2" s="19" t="s">
        <v>45</v>
      </c>
      <c r="F2" s="20" t="s">
        <v>46</v>
      </c>
      <c r="G2" s="9">
        <f>IF(UserData!$B$3&lt;=Database!B4,UserData!$C$3*10,0)</f>
        <v>50</v>
      </c>
      <c r="H2" s="9">
        <f>UserData!$C$2*IF(UserData!$B$2&gt;=Database!C4,10,0)</f>
        <v>50</v>
      </c>
      <c r="I2" s="9">
        <f t="shared" ref="I2:I11" si="0">G2+H2</f>
        <v>100</v>
      </c>
      <c r="J2" s="9" t="b">
        <f>AND(G2&gt;0,H2&gt;0)</f>
        <v>1</v>
      </c>
      <c r="K2" s="9"/>
      <c r="L2" s="9"/>
      <c r="M2" s="9"/>
      <c r="N2" s="9"/>
      <c r="O2" s="9"/>
    </row>
    <row r="3" spans="1:15" s="11" customFormat="1" ht="12.75" customHeight="1" x14ac:dyDescent="0.2">
      <c r="A3" s="18" t="s">
        <v>5</v>
      </c>
      <c r="B3" s="18">
        <v>1.2</v>
      </c>
      <c r="C3" s="18">
        <v>10000</v>
      </c>
      <c r="D3" s="18" t="s">
        <v>20</v>
      </c>
      <c r="E3" s="19" t="s">
        <v>21</v>
      </c>
      <c r="F3" s="20" t="s">
        <v>22</v>
      </c>
      <c r="G3" s="9">
        <f>IF(UserData!$B$3&lt;=Database!B2,UserData!$C$3*10,0)</f>
        <v>0</v>
      </c>
      <c r="H3" s="9">
        <f>UserData!$C$2*IF(UserData!$B$2&gt;=Database!C2,10,0)</f>
        <v>50</v>
      </c>
      <c r="I3" s="9">
        <f t="shared" si="0"/>
        <v>50</v>
      </c>
      <c r="J3" s="9" t="b">
        <f t="shared" ref="J3:J11" si="1">AND(G3&gt;0,H3&gt;0)</f>
        <v>0</v>
      </c>
      <c r="K3" s="9"/>
      <c r="L3" s="9"/>
      <c r="M3" s="9"/>
      <c r="N3" s="9"/>
      <c r="O3" s="9"/>
    </row>
    <row r="4" spans="1:15" x14ac:dyDescent="0.2">
      <c r="A4" s="18" t="s">
        <v>6</v>
      </c>
      <c r="B4" s="18">
        <v>1.3</v>
      </c>
      <c r="C4" s="18">
        <v>11000</v>
      </c>
      <c r="D4" s="18" t="s">
        <v>47</v>
      </c>
      <c r="E4" s="19" t="s">
        <v>48</v>
      </c>
      <c r="F4" s="20" t="s">
        <v>49</v>
      </c>
      <c r="G4" s="9">
        <f>IF(UserData!$B$3&lt;=Database!B3,UserData!$C$3*10,0)</f>
        <v>50</v>
      </c>
      <c r="H4" s="9">
        <f>UserData!$C$2*IF(UserData!$B$2&gt;=Database!C3,10,0)</f>
        <v>50</v>
      </c>
      <c r="I4" s="9">
        <f t="shared" si="0"/>
        <v>100</v>
      </c>
      <c r="J4" s="9" t="b">
        <f t="shared" si="1"/>
        <v>1</v>
      </c>
      <c r="K4" s="9"/>
      <c r="L4" s="9"/>
      <c r="M4" s="9"/>
      <c r="N4" s="9"/>
      <c r="O4" s="9"/>
    </row>
    <row r="5" spans="1:15" x14ac:dyDescent="0.2">
      <c r="A5" s="18" t="s">
        <v>8</v>
      </c>
      <c r="B5" s="18">
        <v>1.5</v>
      </c>
      <c r="C5" s="18">
        <v>13000</v>
      </c>
      <c r="D5" s="18" t="s">
        <v>26</v>
      </c>
      <c r="E5" s="19" t="s">
        <v>27</v>
      </c>
      <c r="F5" s="20" t="s">
        <v>28</v>
      </c>
      <c r="G5" s="9">
        <f>IF(UserData!$B$3&lt;=Database!B5,UserData!$C$3*10,0)</f>
        <v>50</v>
      </c>
      <c r="H5" s="9">
        <f>UserData!$C$2*IF(UserData!$B$2&gt;=Database!C5,10,0)</f>
        <v>50</v>
      </c>
      <c r="I5" s="9">
        <f t="shared" si="0"/>
        <v>100</v>
      </c>
      <c r="J5" s="9" t="b">
        <f t="shared" si="1"/>
        <v>1</v>
      </c>
      <c r="K5" s="9"/>
      <c r="L5" s="9"/>
      <c r="M5" s="9"/>
      <c r="N5" s="9"/>
      <c r="O5" s="9"/>
    </row>
    <row r="6" spans="1:15" x14ac:dyDescent="0.2">
      <c r="A6" s="18" t="s">
        <v>9</v>
      </c>
      <c r="B6" s="18">
        <v>1.6</v>
      </c>
      <c r="C6" s="18">
        <v>14000</v>
      </c>
      <c r="D6" s="18" t="s">
        <v>23</v>
      </c>
      <c r="E6" s="19" t="s">
        <v>24</v>
      </c>
      <c r="F6" s="20" t="s">
        <v>25</v>
      </c>
      <c r="G6" s="9">
        <f>IF(UserData!$B$3&lt;=Database!B6,UserData!$C$3*10,0)</f>
        <v>50</v>
      </c>
      <c r="H6" s="9">
        <f>UserData!$C$2*IF(UserData!$B$2&gt;=Database!C6,10,0)</f>
        <v>0</v>
      </c>
      <c r="I6" s="9">
        <f t="shared" si="0"/>
        <v>50</v>
      </c>
      <c r="J6" s="9" t="b">
        <f t="shared" si="1"/>
        <v>0</v>
      </c>
      <c r="K6" s="9"/>
      <c r="L6" s="9"/>
      <c r="M6" s="9"/>
      <c r="N6" s="9"/>
      <c r="O6" s="9"/>
    </row>
    <row r="7" spans="1:15" x14ac:dyDescent="0.2">
      <c r="A7" s="18" t="s">
        <v>10</v>
      </c>
      <c r="B7" s="18">
        <v>1.7</v>
      </c>
      <c r="C7" s="18">
        <v>15000</v>
      </c>
      <c r="D7" s="18" t="s">
        <v>41</v>
      </c>
      <c r="E7" s="19" t="s">
        <v>42</v>
      </c>
      <c r="F7" s="20" t="s">
        <v>43</v>
      </c>
      <c r="G7" s="9">
        <f>IF(UserData!$B$3&lt;=Database!B7,UserData!$C$3*10,0)</f>
        <v>50</v>
      </c>
      <c r="H7" s="9">
        <f>UserData!$C$2*IF(UserData!$B$2&gt;=Database!C7,10,0)</f>
        <v>0</v>
      </c>
      <c r="I7" s="9">
        <f t="shared" si="0"/>
        <v>50</v>
      </c>
      <c r="J7" s="9" t="b">
        <f t="shared" si="1"/>
        <v>0</v>
      </c>
      <c r="K7" s="9"/>
      <c r="L7" s="9"/>
      <c r="M7" s="9"/>
      <c r="N7" s="9"/>
      <c r="O7" s="9"/>
    </row>
    <row r="8" spans="1:15" x14ac:dyDescent="0.2">
      <c r="A8" s="18" t="s">
        <v>11</v>
      </c>
      <c r="B8" s="18">
        <v>1.8</v>
      </c>
      <c r="C8" s="18">
        <v>12000</v>
      </c>
      <c r="D8" s="18" t="s">
        <v>38</v>
      </c>
      <c r="E8" s="19" t="s">
        <v>39</v>
      </c>
      <c r="F8" s="20" t="s">
        <v>40</v>
      </c>
      <c r="G8" s="9">
        <f>IF(UserData!$B$3&lt;=Database!B8,UserData!$C$3*10,0)</f>
        <v>50</v>
      </c>
      <c r="H8" s="9">
        <f>UserData!$C$2*IF(UserData!$B$2&gt;=Database!C8,10,0)</f>
        <v>50</v>
      </c>
      <c r="I8" s="9">
        <f t="shared" si="0"/>
        <v>100</v>
      </c>
      <c r="J8" s="9" t="b">
        <f t="shared" si="1"/>
        <v>1</v>
      </c>
      <c r="K8" s="9"/>
      <c r="L8" s="9"/>
      <c r="M8" s="9"/>
      <c r="N8" s="9"/>
      <c r="O8" s="9"/>
    </row>
    <row r="9" spans="1:15" x14ac:dyDescent="0.2">
      <c r="A9" s="18" t="s">
        <v>12</v>
      </c>
      <c r="B9" s="18">
        <v>1.9</v>
      </c>
      <c r="C9" s="18">
        <v>17000</v>
      </c>
      <c r="D9" s="18" t="s">
        <v>35</v>
      </c>
      <c r="E9" s="19" t="s">
        <v>36</v>
      </c>
      <c r="F9" s="20" t="s">
        <v>37</v>
      </c>
      <c r="G9" s="9">
        <f>IF(UserData!$B$3&lt;=Database!B9,UserData!$C$3*10,0)</f>
        <v>50</v>
      </c>
      <c r="H9" s="9">
        <f>UserData!$C$2*IF(UserData!$B$2&gt;=Database!C9,10,0)</f>
        <v>0</v>
      </c>
      <c r="I9" s="9">
        <f t="shared" si="0"/>
        <v>50</v>
      </c>
      <c r="J9" s="9" t="b">
        <f t="shared" si="1"/>
        <v>0</v>
      </c>
      <c r="K9" s="9"/>
      <c r="L9" s="9"/>
      <c r="M9" s="9"/>
      <c r="N9" s="9"/>
      <c r="O9" s="9"/>
    </row>
    <row r="10" spans="1:15" x14ac:dyDescent="0.2">
      <c r="A10" s="18" t="s">
        <v>13</v>
      </c>
      <c r="B10" s="18">
        <v>2</v>
      </c>
      <c r="C10" s="18">
        <v>18000</v>
      </c>
      <c r="D10" s="18" t="s">
        <v>32</v>
      </c>
      <c r="E10" s="19" t="s">
        <v>33</v>
      </c>
      <c r="F10" s="20" t="s">
        <v>34</v>
      </c>
      <c r="G10" s="9">
        <f>IF(UserData!$B$3&lt;=Database!B10,UserData!$C$3*10,0)</f>
        <v>50</v>
      </c>
      <c r="H10" s="9">
        <f>UserData!$C$2*IF(UserData!$B$2&gt;=Database!C10,10,0)</f>
        <v>0</v>
      </c>
      <c r="I10" s="9">
        <f t="shared" si="0"/>
        <v>50</v>
      </c>
      <c r="J10" s="9" t="b">
        <f>AND(G10&gt;0,H10&gt;0)</f>
        <v>0</v>
      </c>
      <c r="K10" s="9"/>
      <c r="L10" s="9"/>
      <c r="M10" s="9"/>
      <c r="N10" s="9"/>
      <c r="O10" s="9"/>
    </row>
    <row r="11" spans="1:15" x14ac:dyDescent="0.2">
      <c r="A11" s="18" t="s">
        <v>0</v>
      </c>
      <c r="B11" s="18">
        <v>2.1</v>
      </c>
      <c r="C11" s="18">
        <v>19000</v>
      </c>
      <c r="D11" s="18" t="s">
        <v>29</v>
      </c>
      <c r="E11" s="19" t="s">
        <v>30</v>
      </c>
      <c r="F11" s="20" t="s">
        <v>31</v>
      </c>
      <c r="G11" s="9">
        <f>IF(UserData!$B$3&lt;=Database!B11,UserData!$C$3*10,0)</f>
        <v>50</v>
      </c>
      <c r="H11" s="9">
        <f>UserData!$C$2*IF(UserData!$B$2&gt;=Database!C11,10,0)</f>
        <v>0</v>
      </c>
      <c r="I11" s="9">
        <f t="shared" si="0"/>
        <v>50</v>
      </c>
      <c r="J11" s="9" t="b">
        <f t="shared" si="1"/>
        <v>0</v>
      </c>
      <c r="K11" s="9"/>
      <c r="L11" s="10"/>
      <c r="M11" s="9"/>
      <c r="N11" s="9"/>
      <c r="O11" s="9"/>
    </row>
    <row r="12" spans="1:15" x14ac:dyDescent="0.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</row>
    <row r="13" spans="1:15" x14ac:dyDescent="0.2">
      <c r="A13" s="5"/>
      <c r="B13" s="5"/>
      <c r="C13" s="5"/>
      <c r="D13" s="12"/>
      <c r="E13" s="5"/>
      <c r="F13" s="5"/>
      <c r="G13" s="12"/>
      <c r="H13" s="5"/>
      <c r="I13" s="5"/>
      <c r="J13" s="21">
        <f>COUNTIF(J2:J11,TRUE)</f>
        <v>4</v>
      </c>
      <c r="K13" s="5"/>
      <c r="L13" s="5"/>
      <c r="M13" s="12"/>
      <c r="N13" s="5"/>
      <c r="O13" s="5"/>
    </row>
    <row r="14" spans="1:15" x14ac:dyDescent="0.2">
      <c r="A14" s="5"/>
      <c r="B14" s="5"/>
      <c r="C14" s="5"/>
      <c r="D14" s="5"/>
      <c r="E14" s="5"/>
      <c r="F14" s="5"/>
      <c r="G14" s="5"/>
      <c r="J14" s="5"/>
      <c r="K14" s="5"/>
      <c r="L14" s="5"/>
      <c r="M14" s="5"/>
    </row>
    <row r="15" spans="1:15" x14ac:dyDescent="0.2">
      <c r="A15" s="7"/>
      <c r="B15" s="7"/>
      <c r="C15" s="7"/>
      <c r="D15" s="7"/>
      <c r="E15" s="7"/>
      <c r="F15" s="7"/>
      <c r="G15" s="7"/>
      <c r="H15" s="7" t="s">
        <v>50</v>
      </c>
      <c r="I15" s="7"/>
      <c r="J15" s="7"/>
      <c r="K15" s="7"/>
      <c r="L15" s="7"/>
      <c r="M15" s="7"/>
      <c r="N15" s="7"/>
      <c r="O15" s="7"/>
    </row>
    <row r="16" spans="1:15" x14ac:dyDescent="0.2">
      <c r="A16" s="5"/>
      <c r="B16" s="5"/>
      <c r="C16" s="5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 x14ac:dyDescent="0.2">
      <c r="A17" s="5"/>
      <c r="B17" s="5"/>
      <c r="C17" s="5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 x14ac:dyDescent="0.2">
      <c r="A18" s="5"/>
      <c r="B18" s="5"/>
      <c r="C18" s="5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 x14ac:dyDescent="0.2">
      <c r="A19" s="5"/>
      <c r="B19" s="5"/>
      <c r="C19" s="5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 x14ac:dyDescent="0.2">
      <c r="A20" s="5"/>
      <c r="B20" s="5"/>
      <c r="C20" s="5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 x14ac:dyDescent="0.2">
      <c r="A21" s="5"/>
      <c r="B21" s="5"/>
      <c r="C21" s="5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 x14ac:dyDescent="0.2">
      <c r="A22" s="5"/>
      <c r="B22" s="5"/>
      <c r="C22" s="5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 x14ac:dyDescent="0.2">
      <c r="A23" s="5"/>
      <c r="B23" s="5"/>
      <c r="C23" s="5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 x14ac:dyDescent="0.2">
      <c r="A24" s="5"/>
      <c r="B24" s="5"/>
      <c r="C24" s="5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 x14ac:dyDescent="0.2">
      <c r="A25" s="5"/>
      <c r="B25" s="5"/>
      <c r="C25" s="5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</sheetData>
  <sortState ref="A2:I11">
    <sortCondition descending="1" ref="I2"/>
    <sortCondition ref="A2"/>
  </sortState>
  <phoneticPr fontId="1" type="noConversion"/>
  <hyperlinks>
    <hyperlink ref="F3" r:id="rId1" xr:uid="{00000000-0004-0000-0200-000000000000}"/>
    <hyperlink ref="F10" r:id="rId2" xr:uid="{00000000-0004-0000-0200-000001000000}"/>
    <hyperlink ref="F9" r:id="rId3" xr:uid="{00000000-0004-0000-0200-000002000000}"/>
    <hyperlink ref="F8" r:id="rId4" xr:uid="{00000000-0004-0000-0200-000003000000}"/>
    <hyperlink ref="F7" r:id="rId5" xr:uid="{00000000-0004-0000-0200-000004000000}"/>
    <hyperlink ref="F6" r:id="rId6" xr:uid="{00000000-0004-0000-0200-000005000000}"/>
    <hyperlink ref="F5" r:id="rId7" xr:uid="{00000000-0004-0000-0200-000006000000}"/>
    <hyperlink ref="F2" r:id="rId8" xr:uid="{00000000-0004-0000-0200-000007000000}"/>
    <hyperlink ref="F11" r:id="rId9" xr:uid="{00000000-0004-0000-0200-000008000000}"/>
    <hyperlink ref="F4" r:id="rId10" xr:uid="{00000000-0004-0000-0200-000009000000}"/>
  </hyperlink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11"/>
  <sheetViews>
    <sheetView workbookViewId="0">
      <selection activeCell="D23" sqref="D23"/>
    </sheetView>
  </sheetViews>
  <sheetFormatPr defaultRowHeight="12.75" x14ac:dyDescent="0.2"/>
  <sheetData>
    <row r="1" spans="1:3" x14ac:dyDescent="0.2">
      <c r="A1" s="1" t="s">
        <v>14</v>
      </c>
    </row>
    <row r="2" spans="1:3" x14ac:dyDescent="0.2">
      <c r="A2" s="3">
        <v>10000</v>
      </c>
      <c r="C2" s="4"/>
    </row>
    <row r="3" spans="1:3" x14ac:dyDescent="0.2">
      <c r="A3" s="3">
        <v>11000</v>
      </c>
      <c r="C3" s="4"/>
    </row>
    <row r="4" spans="1:3" x14ac:dyDescent="0.2">
      <c r="A4" s="3">
        <v>12000</v>
      </c>
      <c r="C4" s="4"/>
    </row>
    <row r="5" spans="1:3" x14ac:dyDescent="0.2">
      <c r="A5" s="3">
        <v>13000</v>
      </c>
      <c r="C5" s="4"/>
    </row>
    <row r="6" spans="1:3" x14ac:dyDescent="0.2">
      <c r="A6" s="3">
        <v>14000</v>
      </c>
      <c r="C6" s="4"/>
    </row>
    <row r="7" spans="1:3" x14ac:dyDescent="0.2">
      <c r="A7" s="3">
        <v>15000</v>
      </c>
      <c r="C7" s="4"/>
    </row>
    <row r="8" spans="1:3" x14ac:dyDescent="0.2">
      <c r="A8" s="3">
        <v>16000</v>
      </c>
      <c r="C8" s="4"/>
    </row>
    <row r="9" spans="1:3" x14ac:dyDescent="0.2">
      <c r="A9" s="3">
        <v>17000</v>
      </c>
      <c r="C9" s="4"/>
    </row>
    <row r="10" spans="1:3" x14ac:dyDescent="0.2">
      <c r="A10" s="3">
        <v>18000</v>
      </c>
      <c r="C10" s="4"/>
    </row>
    <row r="11" spans="1:3" x14ac:dyDescent="0.2">
      <c r="A11" s="3">
        <v>19000</v>
      </c>
      <c r="C11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</vt:lpstr>
      <vt:lpstr>UserData</vt:lpstr>
      <vt:lpstr>Calculations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Joyce</dc:creator>
  <cp:lastModifiedBy>Flesch</cp:lastModifiedBy>
  <dcterms:created xsi:type="dcterms:W3CDTF">1996-10-14T23:33:28Z</dcterms:created>
  <dcterms:modified xsi:type="dcterms:W3CDTF">2019-04-29T22:45:32Z</dcterms:modified>
</cp:coreProperties>
</file>