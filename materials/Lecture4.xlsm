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18-2019\Lectures\Lecture_4\"/>
    </mc:Choice>
  </mc:AlternateContent>
  <xr:revisionPtr revIDLastSave="0" documentId="13_ncr:1_{6003ECFB-2B5E-49C2-8485-1EC4BCADC625}" xr6:coauthVersionLast="36" xr6:coauthVersionMax="36" xr10:uidLastSave="{00000000-0000-0000-0000-000000000000}"/>
  <bookViews>
    <workbookView xWindow="120" yWindow="120" windowWidth="12120" windowHeight="9120" activeTab="1" xr2:uid="{00000000-000D-0000-FFFF-FFFF00000000}"/>
  </bookViews>
  <sheets>
    <sheet name="Database" sheetId="1" r:id="rId1"/>
    <sheet name="UserData" sheetId="2" r:id="rId2"/>
    <sheet name="Calculations" sheetId="3" r:id="rId3"/>
    <sheet name="Data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5" i="2" l="1"/>
  <c r="K6" i="3" s="1"/>
  <c r="J6" i="3"/>
  <c r="J25" i="3"/>
  <c r="J16" i="3"/>
  <c r="J20" i="3"/>
  <c r="J11" i="3"/>
  <c r="J12" i="3"/>
  <c r="J17" i="3"/>
  <c r="J28" i="3"/>
  <c r="J26" i="3"/>
  <c r="J5" i="3"/>
  <c r="J10" i="3"/>
  <c r="J31" i="3"/>
  <c r="J8" i="3"/>
  <c r="J7" i="3"/>
  <c r="J23" i="3"/>
  <c r="J29" i="3"/>
  <c r="J19" i="3"/>
  <c r="J30" i="3"/>
  <c r="J4" i="3"/>
  <c r="J13" i="3"/>
  <c r="J27" i="3"/>
  <c r="J15" i="3"/>
  <c r="J14" i="3"/>
  <c r="J3" i="3"/>
  <c r="J18" i="3"/>
  <c r="J21" i="3"/>
  <c r="J2" i="3"/>
  <c r="J22" i="3"/>
  <c r="J9" i="3"/>
  <c r="J24" i="3"/>
  <c r="H6" i="3"/>
  <c r="I6" i="3"/>
  <c r="L6" i="3"/>
  <c r="H25" i="3"/>
  <c r="I25" i="3"/>
  <c r="L25" i="3"/>
  <c r="H16" i="3"/>
  <c r="I16" i="3"/>
  <c r="L16" i="3"/>
  <c r="H20" i="3"/>
  <c r="I20" i="3"/>
  <c r="L20" i="3"/>
  <c r="H11" i="3"/>
  <c r="I11" i="3"/>
  <c r="L11" i="3"/>
  <c r="H12" i="3"/>
  <c r="I12" i="3"/>
  <c r="L12" i="3"/>
  <c r="H17" i="3"/>
  <c r="I17" i="3"/>
  <c r="L17" i="3"/>
  <c r="H28" i="3"/>
  <c r="I28" i="3"/>
  <c r="L28" i="3"/>
  <c r="H26" i="3"/>
  <c r="I26" i="3"/>
  <c r="L26" i="3"/>
  <c r="H5" i="3"/>
  <c r="I5" i="3"/>
  <c r="L5" i="3"/>
  <c r="H10" i="3"/>
  <c r="I10" i="3"/>
  <c r="L10" i="3"/>
  <c r="H31" i="3"/>
  <c r="I31" i="3"/>
  <c r="L31" i="3"/>
  <c r="H8" i="3"/>
  <c r="I8" i="3"/>
  <c r="L8" i="3"/>
  <c r="H7" i="3"/>
  <c r="I7" i="3"/>
  <c r="L7" i="3"/>
  <c r="H23" i="3"/>
  <c r="I23" i="3"/>
  <c r="L23" i="3"/>
  <c r="H29" i="3"/>
  <c r="I29" i="3"/>
  <c r="L29" i="3"/>
  <c r="H19" i="3"/>
  <c r="I19" i="3"/>
  <c r="L19" i="3"/>
  <c r="H30" i="3"/>
  <c r="I30" i="3"/>
  <c r="L30" i="3"/>
  <c r="H4" i="3"/>
  <c r="I4" i="3"/>
  <c r="L4" i="3"/>
  <c r="H13" i="3"/>
  <c r="I13" i="3"/>
  <c r="L13" i="3"/>
  <c r="H27" i="3"/>
  <c r="I27" i="3"/>
  <c r="L27" i="3"/>
  <c r="H15" i="3"/>
  <c r="I15" i="3"/>
  <c r="L15" i="3"/>
  <c r="H14" i="3"/>
  <c r="I14" i="3"/>
  <c r="L14" i="3"/>
  <c r="H3" i="3"/>
  <c r="I3" i="3"/>
  <c r="L3" i="3"/>
  <c r="H18" i="3"/>
  <c r="I18" i="3"/>
  <c r="L18" i="3"/>
  <c r="H21" i="3"/>
  <c r="I21" i="3"/>
  <c r="L21" i="3"/>
  <c r="H2" i="3"/>
  <c r="I2" i="3"/>
  <c r="L2" i="3"/>
  <c r="H22" i="3"/>
  <c r="I22" i="3"/>
  <c r="L22" i="3"/>
  <c r="H9" i="3"/>
  <c r="I9" i="3"/>
  <c r="L9" i="3"/>
  <c r="H24" i="3"/>
  <c r="I24" i="3"/>
  <c r="L24" i="3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K24" i="3" l="1"/>
  <c r="N24" i="3" s="1"/>
  <c r="K9" i="3"/>
  <c r="N9" i="3" s="1"/>
  <c r="K22" i="3"/>
  <c r="M22" i="3" s="1"/>
  <c r="K2" i="3"/>
  <c r="N2" i="3" s="1"/>
  <c r="K21" i="3"/>
  <c r="N21" i="3" s="1"/>
  <c r="K18" i="3"/>
  <c r="N18" i="3" s="1"/>
  <c r="K3" i="3"/>
  <c r="N3" i="3" s="1"/>
  <c r="K14" i="3"/>
  <c r="N14" i="3" s="1"/>
  <c r="K15" i="3"/>
  <c r="N15" i="3" s="1"/>
  <c r="K27" i="3"/>
  <c r="N27" i="3" s="1"/>
  <c r="K13" i="3"/>
  <c r="N13" i="3" s="1"/>
  <c r="K4" i="3"/>
  <c r="N4" i="3" s="1"/>
  <c r="K30" i="3"/>
  <c r="N30" i="3" s="1"/>
  <c r="K19" i="3"/>
  <c r="N19" i="3" s="1"/>
  <c r="K29" i="3"/>
  <c r="N29" i="3" s="1"/>
  <c r="K23" i="3"/>
  <c r="N23" i="3" s="1"/>
  <c r="K7" i="3"/>
  <c r="N7" i="3" s="1"/>
  <c r="K8" i="3"/>
  <c r="N8" i="3" s="1"/>
  <c r="K31" i="3"/>
  <c r="N31" i="3" s="1"/>
  <c r="K10" i="3"/>
  <c r="N10" i="3" s="1"/>
  <c r="K5" i="3"/>
  <c r="N5" i="3" s="1"/>
  <c r="K26" i="3"/>
  <c r="N26" i="3" s="1"/>
  <c r="K28" i="3"/>
  <c r="N28" i="3" s="1"/>
  <c r="K17" i="3"/>
  <c r="N17" i="3" s="1"/>
  <c r="K12" i="3"/>
  <c r="N12" i="3" s="1"/>
  <c r="K11" i="3"/>
  <c r="N11" i="3" s="1"/>
  <c r="K20" i="3"/>
  <c r="N20" i="3" s="1"/>
  <c r="K16" i="3"/>
  <c r="N16" i="3" s="1"/>
  <c r="K25" i="3"/>
  <c r="N25" i="3" s="1"/>
  <c r="M9" i="3"/>
  <c r="M6" i="3"/>
  <c r="N6" i="3"/>
  <c r="M13" i="3" l="1"/>
  <c r="M31" i="3"/>
  <c r="M27" i="3"/>
  <c r="M8" i="3"/>
  <c r="M18" i="3"/>
  <c r="M20" i="3"/>
  <c r="M29" i="3"/>
  <c r="M3" i="3"/>
  <c r="M28" i="3"/>
  <c r="M25" i="3"/>
  <c r="M12" i="3"/>
  <c r="M5" i="3"/>
  <c r="M7" i="3"/>
  <c r="M30" i="3"/>
  <c r="M15" i="3"/>
  <c r="M21" i="3"/>
  <c r="M26" i="3"/>
  <c r="M19" i="3"/>
  <c r="M10" i="3"/>
  <c r="M23" i="3"/>
  <c r="M4" i="3"/>
  <c r="M14" i="3"/>
  <c r="M2" i="3"/>
  <c r="N22" i="3"/>
  <c r="M11" i="3"/>
  <c r="M17" i="3"/>
  <c r="M16" i="3"/>
  <c r="M24" i="3"/>
  <c r="M33" i="3" l="1"/>
</calcChain>
</file>

<file path=xl/sharedStrings.xml><?xml version="1.0" encoding="utf-8"?>
<sst xmlns="http://schemas.openxmlformats.org/spreadsheetml/2006/main" count="344" uniqueCount="80">
  <si>
    <t>Car 10</t>
  </si>
  <si>
    <t>Engine</t>
  </si>
  <si>
    <t>Price</t>
  </si>
  <si>
    <t>Car</t>
  </si>
  <si>
    <t>Car 01</t>
  </si>
  <si>
    <t>Car 02</t>
  </si>
  <si>
    <t>Car 03</t>
  </si>
  <si>
    <t>Car 04</t>
  </si>
  <si>
    <t>Car 05</t>
  </si>
  <si>
    <t>Car 06</t>
  </si>
  <si>
    <t>Car 07</t>
  </si>
  <si>
    <t>Car 08</t>
  </si>
  <si>
    <t>Car 09</t>
  </si>
  <si>
    <t>Hyperlink</t>
  </si>
  <si>
    <t>Picture</t>
  </si>
  <si>
    <t>Comment</t>
  </si>
  <si>
    <t>Car01.jpg</t>
  </si>
  <si>
    <t>Nice car</t>
  </si>
  <si>
    <t>Car05.jpg</t>
  </si>
  <si>
    <t>Powerful</t>
  </si>
  <si>
    <t>Car04.jpg</t>
  </si>
  <si>
    <t>Fast car</t>
  </si>
  <si>
    <t>Car10.jpg</t>
  </si>
  <si>
    <t>Modern car</t>
  </si>
  <si>
    <t>Car09.jpg</t>
  </si>
  <si>
    <t>Old car</t>
  </si>
  <si>
    <t>Car08.jpg</t>
  </si>
  <si>
    <t>Beauty</t>
  </si>
  <si>
    <t>Car07.jpg</t>
  </si>
  <si>
    <t>So so</t>
  </si>
  <si>
    <t>Car06.jpg</t>
  </si>
  <si>
    <t>Tiger</t>
  </si>
  <si>
    <t>Car03.jpg</t>
  </si>
  <si>
    <t>Expensive car</t>
  </si>
  <si>
    <t>Car02.jpg</t>
  </si>
  <si>
    <t>Slow car</t>
  </si>
  <si>
    <t>Color</t>
  </si>
  <si>
    <t>Make</t>
  </si>
  <si>
    <t>Ford</t>
  </si>
  <si>
    <t>Opel</t>
  </si>
  <si>
    <t>VW</t>
  </si>
  <si>
    <t>BMW</t>
  </si>
  <si>
    <t>Renault</t>
  </si>
  <si>
    <t>Car 11</t>
  </si>
  <si>
    <t>Car 12</t>
  </si>
  <si>
    <t>Car 13</t>
  </si>
  <si>
    <t>Car 14</t>
  </si>
  <si>
    <t>Car 15</t>
  </si>
  <si>
    <t>Car 16</t>
  </si>
  <si>
    <t>Car 17</t>
  </si>
  <si>
    <t>Car 18</t>
  </si>
  <si>
    <t>Car 19</t>
  </si>
  <si>
    <t>Car 20</t>
  </si>
  <si>
    <t>Car 21</t>
  </si>
  <si>
    <t>Car 22</t>
  </si>
  <si>
    <t>Car 23</t>
  </si>
  <si>
    <t>Car 24</t>
  </si>
  <si>
    <t>Car 25</t>
  </si>
  <si>
    <t>Car 26</t>
  </si>
  <si>
    <t>Car 27</t>
  </si>
  <si>
    <t>Car 28</t>
  </si>
  <si>
    <t>Car 29</t>
  </si>
  <si>
    <t>Car 30</t>
  </si>
  <si>
    <t>Green</t>
  </si>
  <si>
    <t>Red</t>
  </si>
  <si>
    <t>Blue</t>
  </si>
  <si>
    <t>Silver</t>
  </si>
  <si>
    <t>Black</t>
  </si>
  <si>
    <t>Makes</t>
  </si>
  <si>
    <t>Colors</t>
  </si>
  <si>
    <t>MinPrice</t>
  </si>
  <si>
    <t>MaxPrice</t>
  </si>
  <si>
    <t>Volume</t>
  </si>
  <si>
    <t>Hard Constraint</t>
  </si>
  <si>
    <t>User Data</t>
  </si>
  <si>
    <t>All</t>
  </si>
  <si>
    <t>Feasible</t>
  </si>
  <si>
    <t>CountCriteria</t>
  </si>
  <si>
    <t>FeasibilityCounter</t>
  </si>
  <si>
    <t>www.abc.com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</si>
</sst>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color indexed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26">
    <xf numFmtId="0" fontId="0" fillId="0" borderId="0" xfId="0"/>
    <xf numFmtId="0" fontId="2" fillId="0" borderId="0" xfId="0" applyFont="1" applyBorder="1"/>
    <xf numFmtId="0" fontId="0" fillId="0" borderId="0" xfId="0" applyBorder="1"/>
    <xf numFmtId="1" fontId="0" fillId="0" borderId="0" xfId="0" applyNumberFormat="1" applyBorder="1"/>
    <xf numFmtId="0" fontId="4" fillId="0" borderId="0" xfId="0" applyFont="1" applyAlignment="1">
      <alignment horizontal="left" readingOrder="1"/>
    </xf>
    <xf numFmtId="0" fontId="0" fillId="0" borderId="0" xfId="0" applyFill="1" applyBorder="1"/>
    <xf numFmtId="0" fontId="2" fillId="0" borderId="0" xfId="0" applyFont="1"/>
    <xf numFmtId="0" fontId="2" fillId="0" borderId="0" xfId="0" applyFont="1" applyFill="1" applyBorder="1"/>
    <xf numFmtId="0" fontId="0" fillId="0" borderId="0" xfId="0" applyFill="1"/>
    <xf numFmtId="0" fontId="0" fillId="0" borderId="0" xfId="0" applyNumberFormat="1" applyFill="1" applyBorder="1"/>
    <xf numFmtId="0" fontId="0" fillId="0" borderId="0" xfId="0" applyFill="1" applyAlignment="1">
      <alignment vertical="center" wrapText="1"/>
    </xf>
    <xf numFmtId="0" fontId="3" fillId="0" borderId="0" xfId="0" applyFont="1" applyFill="1" applyBorder="1"/>
    <xf numFmtId="0" fontId="5" fillId="0" borderId="0" xfId="1" applyAlignment="1" applyProtection="1"/>
    <xf numFmtId="0" fontId="3" fillId="0" borderId="0" xfId="0" applyFont="1" applyBorder="1"/>
    <xf numFmtId="0" fontId="3" fillId="0" borderId="0" xfId="0" applyFont="1"/>
    <xf numFmtId="0" fontId="2" fillId="0" borderId="0" xfId="0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bc.com/" TargetMode="External"/><Relationship Id="rId13" Type="http://schemas.openxmlformats.org/officeDocument/2006/relationships/hyperlink" Target="http://www.wikipedia.com/" TargetMode="External"/><Relationship Id="rId18" Type="http://schemas.openxmlformats.org/officeDocument/2006/relationships/hyperlink" Target="http://www.cnn.com/" TargetMode="External"/><Relationship Id="rId26" Type="http://schemas.openxmlformats.org/officeDocument/2006/relationships/hyperlink" Target="http://www.bbc.com/" TargetMode="External"/><Relationship Id="rId3" Type="http://schemas.openxmlformats.org/officeDocument/2006/relationships/hyperlink" Target="http://www.imdb.com/" TargetMode="External"/><Relationship Id="rId21" Type="http://schemas.openxmlformats.org/officeDocument/2006/relationships/hyperlink" Target="http://www.microsoft.com/" TargetMode="External"/><Relationship Id="rId7" Type="http://schemas.openxmlformats.org/officeDocument/2006/relationships/hyperlink" Target="http://www.yahoo.com/" TargetMode="External"/><Relationship Id="rId12" Type="http://schemas.openxmlformats.org/officeDocument/2006/relationships/hyperlink" Target="http://www.google.com/" TargetMode="External"/><Relationship Id="rId17" Type="http://schemas.openxmlformats.org/officeDocument/2006/relationships/hyperlink" Target="http://www.cnn.com/" TargetMode="External"/><Relationship Id="rId25" Type="http://schemas.openxmlformats.org/officeDocument/2006/relationships/hyperlink" Target="http://www.bbc.com/" TargetMode="External"/><Relationship Id="rId2" Type="http://schemas.openxmlformats.org/officeDocument/2006/relationships/hyperlink" Target="http://www.wikipedia.com/" TargetMode="External"/><Relationship Id="rId16" Type="http://schemas.openxmlformats.org/officeDocument/2006/relationships/hyperlink" Target="http://www.imdb.com/" TargetMode="External"/><Relationship Id="rId20" Type="http://schemas.openxmlformats.org/officeDocument/2006/relationships/hyperlink" Target="http://www.abc.com/" TargetMode="External"/><Relationship Id="rId29" Type="http://schemas.openxmlformats.org/officeDocument/2006/relationships/hyperlink" Target="http://www.eleum.unimaas.nl)/" TargetMode="External"/><Relationship Id="rId1" Type="http://schemas.openxmlformats.org/officeDocument/2006/relationships/hyperlink" Target="http://www.google.com/" TargetMode="External"/><Relationship Id="rId6" Type="http://schemas.openxmlformats.org/officeDocument/2006/relationships/hyperlink" Target="http://www.microsoft.com/" TargetMode="External"/><Relationship Id="rId11" Type="http://schemas.openxmlformats.org/officeDocument/2006/relationships/hyperlink" Target="http://www.google.com/" TargetMode="External"/><Relationship Id="rId24" Type="http://schemas.openxmlformats.org/officeDocument/2006/relationships/hyperlink" Target="http://www.yahoo.com/" TargetMode="External"/><Relationship Id="rId32" Type="http://schemas.openxmlformats.org/officeDocument/2006/relationships/printerSettings" Target="../printerSettings/printerSettings1.bin"/><Relationship Id="rId5" Type="http://schemas.openxmlformats.org/officeDocument/2006/relationships/hyperlink" Target="http://www.abc.com/" TargetMode="External"/><Relationship Id="rId15" Type="http://schemas.openxmlformats.org/officeDocument/2006/relationships/hyperlink" Target="http://www.imdb.com/" TargetMode="External"/><Relationship Id="rId23" Type="http://schemas.openxmlformats.org/officeDocument/2006/relationships/hyperlink" Target="http://www.yahoo.com/" TargetMode="External"/><Relationship Id="rId28" Type="http://schemas.openxmlformats.org/officeDocument/2006/relationships/hyperlink" Target="http://www.unimaas.nl)/" TargetMode="External"/><Relationship Id="rId10" Type="http://schemas.openxmlformats.org/officeDocument/2006/relationships/hyperlink" Target="http://www.eleum.unimaas.nl)/" TargetMode="External"/><Relationship Id="rId19" Type="http://schemas.openxmlformats.org/officeDocument/2006/relationships/hyperlink" Target="http://www.abc.com/" TargetMode="External"/><Relationship Id="rId31" Type="http://schemas.openxmlformats.org/officeDocument/2006/relationships/hyperlink" Target="http://www.abc.com/" TargetMode="External"/><Relationship Id="rId4" Type="http://schemas.openxmlformats.org/officeDocument/2006/relationships/hyperlink" Target="http://www.cnn.com/" TargetMode="External"/><Relationship Id="rId9" Type="http://schemas.openxmlformats.org/officeDocument/2006/relationships/hyperlink" Target="http://www.unimaas.nl)/" TargetMode="External"/><Relationship Id="rId14" Type="http://schemas.openxmlformats.org/officeDocument/2006/relationships/hyperlink" Target="http://www.wikipedia.com/" TargetMode="External"/><Relationship Id="rId22" Type="http://schemas.openxmlformats.org/officeDocument/2006/relationships/hyperlink" Target="http://www.microsoft.com/" TargetMode="External"/><Relationship Id="rId27" Type="http://schemas.openxmlformats.org/officeDocument/2006/relationships/hyperlink" Target="http://www.unimaas.nl)/" TargetMode="External"/><Relationship Id="rId30" Type="http://schemas.openxmlformats.org/officeDocument/2006/relationships/hyperlink" Target="http://www.eleum.unimaas.nl)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bc.com/" TargetMode="External"/><Relationship Id="rId13" Type="http://schemas.openxmlformats.org/officeDocument/2006/relationships/hyperlink" Target="http://www.wikipedia.com/" TargetMode="External"/><Relationship Id="rId18" Type="http://schemas.openxmlformats.org/officeDocument/2006/relationships/hyperlink" Target="http://www.cnn.com/" TargetMode="External"/><Relationship Id="rId26" Type="http://schemas.openxmlformats.org/officeDocument/2006/relationships/hyperlink" Target="http://www.bbc.com/" TargetMode="External"/><Relationship Id="rId3" Type="http://schemas.openxmlformats.org/officeDocument/2006/relationships/hyperlink" Target="http://www.imdb.com/" TargetMode="External"/><Relationship Id="rId21" Type="http://schemas.openxmlformats.org/officeDocument/2006/relationships/hyperlink" Target="http://www.microsoft.com/" TargetMode="External"/><Relationship Id="rId7" Type="http://schemas.openxmlformats.org/officeDocument/2006/relationships/hyperlink" Target="http://www.yahoo.com/" TargetMode="External"/><Relationship Id="rId12" Type="http://schemas.openxmlformats.org/officeDocument/2006/relationships/hyperlink" Target="http://www.google.com/" TargetMode="External"/><Relationship Id="rId17" Type="http://schemas.openxmlformats.org/officeDocument/2006/relationships/hyperlink" Target="http://www.cnn.com/" TargetMode="External"/><Relationship Id="rId25" Type="http://schemas.openxmlformats.org/officeDocument/2006/relationships/hyperlink" Target="http://www.bbc.com/" TargetMode="External"/><Relationship Id="rId2" Type="http://schemas.openxmlformats.org/officeDocument/2006/relationships/hyperlink" Target="http://www.wikipedia.com/" TargetMode="External"/><Relationship Id="rId16" Type="http://schemas.openxmlformats.org/officeDocument/2006/relationships/hyperlink" Target="http://www.imdb.com/" TargetMode="External"/><Relationship Id="rId20" Type="http://schemas.openxmlformats.org/officeDocument/2006/relationships/hyperlink" Target="http://www.abc.com/" TargetMode="External"/><Relationship Id="rId29" Type="http://schemas.openxmlformats.org/officeDocument/2006/relationships/hyperlink" Target="http://www.eleum.unimaas.nl)/" TargetMode="External"/><Relationship Id="rId1" Type="http://schemas.openxmlformats.org/officeDocument/2006/relationships/hyperlink" Target="http://www.google.com/" TargetMode="External"/><Relationship Id="rId6" Type="http://schemas.openxmlformats.org/officeDocument/2006/relationships/hyperlink" Target="http://www.microsoft.com/" TargetMode="External"/><Relationship Id="rId11" Type="http://schemas.openxmlformats.org/officeDocument/2006/relationships/hyperlink" Target="http://www.google.com/" TargetMode="External"/><Relationship Id="rId24" Type="http://schemas.openxmlformats.org/officeDocument/2006/relationships/hyperlink" Target="http://www.yahoo.com/" TargetMode="External"/><Relationship Id="rId5" Type="http://schemas.openxmlformats.org/officeDocument/2006/relationships/hyperlink" Target="http://www.abc.com/" TargetMode="External"/><Relationship Id="rId15" Type="http://schemas.openxmlformats.org/officeDocument/2006/relationships/hyperlink" Target="http://www.imdb.com/" TargetMode="External"/><Relationship Id="rId23" Type="http://schemas.openxmlformats.org/officeDocument/2006/relationships/hyperlink" Target="http://www.yahoo.com/" TargetMode="External"/><Relationship Id="rId28" Type="http://schemas.openxmlformats.org/officeDocument/2006/relationships/hyperlink" Target="http://www.unimaas.nl)/" TargetMode="External"/><Relationship Id="rId10" Type="http://schemas.openxmlformats.org/officeDocument/2006/relationships/hyperlink" Target="http://www.eleum.unimaas.nl)/" TargetMode="External"/><Relationship Id="rId19" Type="http://schemas.openxmlformats.org/officeDocument/2006/relationships/hyperlink" Target="http://www.abc.com/" TargetMode="External"/><Relationship Id="rId4" Type="http://schemas.openxmlformats.org/officeDocument/2006/relationships/hyperlink" Target="http://www.cnn.com/" TargetMode="External"/><Relationship Id="rId9" Type="http://schemas.openxmlformats.org/officeDocument/2006/relationships/hyperlink" Target="http://www.unimaas.nl)/" TargetMode="External"/><Relationship Id="rId14" Type="http://schemas.openxmlformats.org/officeDocument/2006/relationships/hyperlink" Target="http://www.wikipedia.com/" TargetMode="External"/><Relationship Id="rId22" Type="http://schemas.openxmlformats.org/officeDocument/2006/relationships/hyperlink" Target="http://www.microsoft.com/" TargetMode="External"/><Relationship Id="rId27" Type="http://schemas.openxmlformats.org/officeDocument/2006/relationships/hyperlink" Target="http://www.unimaas.nl)/" TargetMode="External"/><Relationship Id="rId30" Type="http://schemas.openxmlformats.org/officeDocument/2006/relationships/hyperlink" Target="http://www.eleum.unimaas.nl)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6"/>
  <sheetViews>
    <sheetView workbookViewId="0">
      <selection activeCell="I3" sqref="I3"/>
    </sheetView>
  </sheetViews>
  <sheetFormatPr defaultRowHeight="12.75" x14ac:dyDescent="0.2"/>
  <cols>
    <col min="7" max="7" width="10.5703125" customWidth="1"/>
    <col min="8" max="8" width="25.28515625" bestFit="1" customWidth="1"/>
  </cols>
  <sheetData>
    <row r="1" spans="1:9" x14ac:dyDescent="0.2">
      <c r="A1" s="1" t="s">
        <v>3</v>
      </c>
      <c r="B1" s="1" t="s">
        <v>1</v>
      </c>
      <c r="C1" s="1" t="s">
        <v>2</v>
      </c>
      <c r="D1" s="1" t="s">
        <v>36</v>
      </c>
      <c r="E1" s="1" t="s">
        <v>37</v>
      </c>
      <c r="F1" s="7" t="s">
        <v>14</v>
      </c>
      <c r="G1" s="7" t="s">
        <v>15</v>
      </c>
      <c r="H1" s="7" t="s">
        <v>13</v>
      </c>
    </row>
    <row r="2" spans="1:9" x14ac:dyDescent="0.2">
      <c r="A2" s="2" t="s">
        <v>4</v>
      </c>
      <c r="B2" s="2">
        <v>1.2</v>
      </c>
      <c r="C2" s="2">
        <v>11800</v>
      </c>
      <c r="D2" s="13" t="s">
        <v>63</v>
      </c>
      <c r="E2" s="13" t="s">
        <v>38</v>
      </c>
      <c r="F2" s="2" t="s">
        <v>16</v>
      </c>
      <c r="G2" t="s">
        <v>17</v>
      </c>
      <c r="H2" s="12" t="str">
        <f>HYPERLINK("http://www.google.com")</f>
        <v>http://www.google.com</v>
      </c>
      <c r="I2" s="12" t="s">
        <v>79</v>
      </c>
    </row>
    <row r="3" spans="1:9" x14ac:dyDescent="0.2">
      <c r="A3" s="2" t="s">
        <v>5</v>
      </c>
      <c r="B3" s="2">
        <v>1.8</v>
      </c>
      <c r="C3" s="2">
        <v>23600</v>
      </c>
      <c r="D3" s="13" t="s">
        <v>64</v>
      </c>
      <c r="E3" s="13" t="s">
        <v>39</v>
      </c>
      <c r="F3" s="2" t="s">
        <v>34</v>
      </c>
      <c r="G3" t="s">
        <v>35</v>
      </c>
      <c r="H3" s="12" t="str">
        <f>HYPERLINK("http://www.eleum.unimaas.nl")</f>
        <v>http://www.eleum.unimaas.nl</v>
      </c>
    </row>
    <row r="4" spans="1:9" x14ac:dyDescent="0.2">
      <c r="A4" s="2" t="s">
        <v>6</v>
      </c>
      <c r="B4" s="2">
        <v>2.5</v>
      </c>
      <c r="C4" s="2">
        <v>27800</v>
      </c>
      <c r="D4" s="13" t="s">
        <v>65</v>
      </c>
      <c r="E4" s="13" t="s">
        <v>40</v>
      </c>
      <c r="F4" s="2" t="s">
        <v>32</v>
      </c>
      <c r="G4" t="s">
        <v>33</v>
      </c>
      <c r="H4" s="12" t="str">
        <f>HYPERLINK("http://www.bbc.com")</f>
        <v>http://www.bbc.com</v>
      </c>
    </row>
    <row r="5" spans="1:9" x14ac:dyDescent="0.2">
      <c r="A5" s="2" t="s">
        <v>7</v>
      </c>
      <c r="B5" s="2">
        <v>2.2999999999999998</v>
      </c>
      <c r="C5" s="2">
        <v>24400</v>
      </c>
      <c r="D5" s="11" t="s">
        <v>66</v>
      </c>
      <c r="E5" s="11" t="s">
        <v>41</v>
      </c>
      <c r="F5" s="2" t="s">
        <v>20</v>
      </c>
      <c r="G5" t="s">
        <v>21</v>
      </c>
      <c r="H5" s="12" t="str">
        <f>HYPERLINK("http://www.yahoo.com")</f>
        <v>http://www.yahoo.com</v>
      </c>
    </row>
    <row r="6" spans="1:9" x14ac:dyDescent="0.2">
      <c r="A6" s="2" t="s">
        <v>8</v>
      </c>
      <c r="B6" s="2">
        <v>2.2000000000000002</v>
      </c>
      <c r="C6" s="2">
        <v>20600</v>
      </c>
      <c r="D6" s="11" t="s">
        <v>67</v>
      </c>
      <c r="E6" s="11" t="s">
        <v>42</v>
      </c>
      <c r="F6" s="2" t="s">
        <v>18</v>
      </c>
      <c r="G6" t="s">
        <v>19</v>
      </c>
      <c r="H6" s="12" t="str">
        <f>HYPERLINK("http://www.microsoft.com")</f>
        <v>http://www.microsoft.com</v>
      </c>
    </row>
    <row r="7" spans="1:9" x14ac:dyDescent="0.2">
      <c r="A7" s="2" t="s">
        <v>9</v>
      </c>
      <c r="B7" s="2">
        <v>2.6</v>
      </c>
      <c r="C7" s="2">
        <v>15600</v>
      </c>
      <c r="D7" s="13" t="s">
        <v>65</v>
      </c>
      <c r="E7" s="11" t="s">
        <v>42</v>
      </c>
      <c r="F7" s="2" t="s">
        <v>30</v>
      </c>
      <c r="G7" t="s">
        <v>31</v>
      </c>
      <c r="H7" s="12" t="str">
        <f>HYPERLINK("http://www.abc.com")</f>
        <v>http://www.abc.com</v>
      </c>
    </row>
    <row r="8" spans="1:9" x14ac:dyDescent="0.2">
      <c r="A8" s="2" t="s">
        <v>10</v>
      </c>
      <c r="B8" s="2">
        <v>1.9</v>
      </c>
      <c r="C8" s="2">
        <v>13000</v>
      </c>
      <c r="D8" s="11" t="s">
        <v>66</v>
      </c>
      <c r="E8" s="11" t="s">
        <v>38</v>
      </c>
      <c r="F8" s="2" t="s">
        <v>28</v>
      </c>
      <c r="G8" t="s">
        <v>29</v>
      </c>
      <c r="H8" s="12" t="str">
        <f>HYPERLINK("http://www.cnn.com")</f>
        <v>http://www.cnn.com</v>
      </c>
    </row>
    <row r="9" spans="1:9" x14ac:dyDescent="0.2">
      <c r="A9" s="2" t="s">
        <v>11</v>
      </c>
      <c r="B9" s="2">
        <v>2.2000000000000002</v>
      </c>
      <c r="C9" s="2">
        <v>29400</v>
      </c>
      <c r="D9" s="11" t="s">
        <v>67</v>
      </c>
      <c r="E9" s="11" t="s">
        <v>40</v>
      </c>
      <c r="F9" s="2" t="s">
        <v>26</v>
      </c>
      <c r="G9" t="s">
        <v>27</v>
      </c>
      <c r="H9" s="12" t="str">
        <f>HYPERLINK("http://www.imdb.com")</f>
        <v>http://www.imdb.com</v>
      </c>
    </row>
    <row r="10" spans="1:9" x14ac:dyDescent="0.2">
      <c r="A10" s="2" t="s">
        <v>12</v>
      </c>
      <c r="B10" s="2">
        <v>2.2999999999999998</v>
      </c>
      <c r="C10" s="2">
        <v>24200</v>
      </c>
      <c r="D10" s="13" t="s">
        <v>65</v>
      </c>
      <c r="E10" s="11" t="s">
        <v>40</v>
      </c>
      <c r="F10" s="2" t="s">
        <v>24</v>
      </c>
      <c r="G10" t="s">
        <v>25</v>
      </c>
      <c r="H10" s="12" t="str">
        <f>HYPERLINK("http://www.wikipedia.com")</f>
        <v>http://www.wikipedia.com</v>
      </c>
    </row>
    <row r="11" spans="1:9" x14ac:dyDescent="0.2">
      <c r="A11" s="2" t="s">
        <v>0</v>
      </c>
      <c r="B11" s="2">
        <v>1.2</v>
      </c>
      <c r="C11" s="2">
        <v>22200</v>
      </c>
      <c r="D11" s="11" t="s">
        <v>66</v>
      </c>
      <c r="E11" s="11" t="s">
        <v>38</v>
      </c>
      <c r="F11" s="2" t="s">
        <v>22</v>
      </c>
      <c r="G11" t="s">
        <v>23</v>
      </c>
      <c r="H11" s="12" t="str">
        <f>HYPERLINK("http://www.unimaas.nl")</f>
        <v>http://www.unimaas.nl</v>
      </c>
    </row>
    <row r="12" spans="1:9" x14ac:dyDescent="0.2">
      <c r="A12" s="2" t="s">
        <v>43</v>
      </c>
      <c r="B12" s="2">
        <v>2.4</v>
      </c>
      <c r="C12" s="2">
        <v>22600</v>
      </c>
      <c r="D12" s="11" t="s">
        <v>67</v>
      </c>
      <c r="E12" s="13" t="s">
        <v>40</v>
      </c>
      <c r="F12" s="2" t="s">
        <v>16</v>
      </c>
      <c r="G12" t="s">
        <v>21</v>
      </c>
      <c r="H12" s="12" t="str">
        <f t="shared" ref="H12" si="0">HYPERLINK("http://www.google.com")</f>
        <v>http://www.google.com</v>
      </c>
    </row>
    <row r="13" spans="1:9" x14ac:dyDescent="0.2">
      <c r="A13" s="2" t="s">
        <v>44</v>
      </c>
      <c r="B13" s="2">
        <v>2.2999999999999998</v>
      </c>
      <c r="C13" s="2">
        <v>14800</v>
      </c>
      <c r="D13" s="13" t="s">
        <v>65</v>
      </c>
      <c r="E13" s="11" t="s">
        <v>41</v>
      </c>
      <c r="F13" s="2" t="s">
        <v>34</v>
      </c>
      <c r="G13" t="s">
        <v>19</v>
      </c>
      <c r="H13" s="12" t="str">
        <f t="shared" ref="H13" si="1">HYPERLINK("http://www.eleum.unimaas.nl")</f>
        <v>http://www.eleum.unimaas.nl</v>
      </c>
    </row>
    <row r="14" spans="1:9" x14ac:dyDescent="0.2">
      <c r="A14" s="2" t="s">
        <v>45</v>
      </c>
      <c r="B14" s="2">
        <v>2.4</v>
      </c>
      <c r="C14" s="2">
        <v>16000</v>
      </c>
      <c r="D14" s="11" t="s">
        <v>64</v>
      </c>
      <c r="E14" s="11" t="s">
        <v>42</v>
      </c>
      <c r="F14" s="2" t="s">
        <v>32</v>
      </c>
      <c r="G14" t="s">
        <v>31</v>
      </c>
      <c r="H14" s="12" t="str">
        <f t="shared" ref="H14" si="2">HYPERLINK("http://www.bbc.com")</f>
        <v>http://www.bbc.com</v>
      </c>
    </row>
    <row r="15" spans="1:9" x14ac:dyDescent="0.2">
      <c r="A15" s="2" t="s">
        <v>46</v>
      </c>
      <c r="B15" s="2">
        <v>2.7</v>
      </c>
      <c r="C15" s="2">
        <v>17600</v>
      </c>
      <c r="D15" s="11" t="s">
        <v>67</v>
      </c>
      <c r="E15" s="11" t="s">
        <v>42</v>
      </c>
      <c r="F15" s="2" t="s">
        <v>20</v>
      </c>
      <c r="G15" t="s">
        <v>29</v>
      </c>
      <c r="H15" s="12" t="str">
        <f t="shared" ref="H15" si="3">HYPERLINK("http://www.yahoo.com")</f>
        <v>http://www.yahoo.com</v>
      </c>
    </row>
    <row r="16" spans="1:9" x14ac:dyDescent="0.2">
      <c r="A16" s="2" t="s">
        <v>47</v>
      </c>
      <c r="B16" s="2">
        <v>1.2</v>
      </c>
      <c r="C16" s="2">
        <v>22000</v>
      </c>
      <c r="D16" s="13" t="s">
        <v>65</v>
      </c>
      <c r="E16" s="11" t="s">
        <v>38</v>
      </c>
      <c r="F16" s="2" t="s">
        <v>18</v>
      </c>
      <c r="G16" t="s">
        <v>27</v>
      </c>
      <c r="H16" s="12" t="str">
        <f t="shared" ref="H16" si="4">HYPERLINK("http://www.microsoft.com")</f>
        <v>http://www.microsoft.com</v>
      </c>
    </row>
    <row r="17" spans="1:8" x14ac:dyDescent="0.2">
      <c r="A17" s="2" t="s">
        <v>48</v>
      </c>
      <c r="B17" s="2">
        <v>1.5</v>
      </c>
      <c r="C17" s="2">
        <v>22600</v>
      </c>
      <c r="D17" s="11" t="s">
        <v>66</v>
      </c>
      <c r="E17" s="13" t="s">
        <v>40</v>
      </c>
      <c r="F17" s="2" t="s">
        <v>30</v>
      </c>
      <c r="G17" t="s">
        <v>25</v>
      </c>
      <c r="H17" s="12" t="str">
        <f t="shared" ref="H17" si="5">HYPERLINK("http://www.abc.com")</f>
        <v>http://www.abc.com</v>
      </c>
    </row>
    <row r="18" spans="1:8" x14ac:dyDescent="0.2">
      <c r="A18" s="2" t="s">
        <v>49</v>
      </c>
      <c r="B18" s="2">
        <v>1.5</v>
      </c>
      <c r="C18" s="2">
        <v>22000</v>
      </c>
      <c r="D18" s="11" t="s">
        <v>67</v>
      </c>
      <c r="E18" s="11" t="s">
        <v>41</v>
      </c>
      <c r="F18" s="2" t="s">
        <v>28</v>
      </c>
      <c r="G18" t="s">
        <v>31</v>
      </c>
      <c r="H18" s="12" t="str">
        <f t="shared" ref="H18" si="6">HYPERLINK("http://www.cnn.com")</f>
        <v>http://www.cnn.com</v>
      </c>
    </row>
    <row r="19" spans="1:8" x14ac:dyDescent="0.2">
      <c r="A19" s="2" t="s">
        <v>50</v>
      </c>
      <c r="B19" s="2">
        <v>1.6</v>
      </c>
      <c r="C19" s="2">
        <v>16800</v>
      </c>
      <c r="D19" s="13" t="s">
        <v>65</v>
      </c>
      <c r="E19" s="11" t="s">
        <v>42</v>
      </c>
      <c r="F19" s="2" t="s">
        <v>26</v>
      </c>
      <c r="G19" t="s">
        <v>29</v>
      </c>
      <c r="H19" s="12" t="str">
        <f t="shared" ref="H19" si="7">HYPERLINK("http://www.imdb.com")</f>
        <v>http://www.imdb.com</v>
      </c>
    </row>
    <row r="20" spans="1:8" x14ac:dyDescent="0.2">
      <c r="A20" s="2" t="s">
        <v>51</v>
      </c>
      <c r="B20" s="2">
        <v>2.6</v>
      </c>
      <c r="C20" s="2">
        <v>15200</v>
      </c>
      <c r="D20" s="11" t="s">
        <v>67</v>
      </c>
      <c r="E20" s="11" t="s">
        <v>42</v>
      </c>
      <c r="F20" s="2" t="s">
        <v>24</v>
      </c>
      <c r="G20" t="s">
        <v>27</v>
      </c>
      <c r="H20" s="12" t="str">
        <f t="shared" ref="H20" si="8">HYPERLINK("http://www.wikipedia.com")</f>
        <v>http://www.wikipedia.com</v>
      </c>
    </row>
    <row r="21" spans="1:8" x14ac:dyDescent="0.2">
      <c r="A21" s="2" t="s">
        <v>52</v>
      </c>
      <c r="B21" s="2">
        <v>1.5</v>
      </c>
      <c r="C21" s="2">
        <v>13200</v>
      </c>
      <c r="D21" s="11" t="s">
        <v>66</v>
      </c>
      <c r="E21" s="11" t="s">
        <v>38</v>
      </c>
      <c r="F21" s="2" t="s">
        <v>22</v>
      </c>
      <c r="G21" t="s">
        <v>25</v>
      </c>
      <c r="H21" s="12" t="str">
        <f t="shared" ref="H21" si="9">HYPERLINK("http://www.unimaas.nl")</f>
        <v>http://www.unimaas.nl</v>
      </c>
    </row>
    <row r="22" spans="1:8" x14ac:dyDescent="0.2">
      <c r="A22" s="2" t="s">
        <v>53</v>
      </c>
      <c r="B22" s="2">
        <v>2.8</v>
      </c>
      <c r="C22" s="2">
        <v>25600</v>
      </c>
      <c r="D22" s="11" t="s">
        <v>67</v>
      </c>
      <c r="E22" s="11" t="s">
        <v>38</v>
      </c>
      <c r="F22" s="2" t="s">
        <v>16</v>
      </c>
      <c r="G22" t="s">
        <v>21</v>
      </c>
      <c r="H22" s="12" t="str">
        <f t="shared" ref="H22" si="10">HYPERLINK("http://www.google.com")</f>
        <v>http://www.google.com</v>
      </c>
    </row>
    <row r="23" spans="1:8" x14ac:dyDescent="0.2">
      <c r="A23" s="2" t="s">
        <v>54</v>
      </c>
      <c r="B23" s="2">
        <v>1.7</v>
      </c>
      <c r="C23" s="2">
        <v>23200</v>
      </c>
      <c r="D23" s="13" t="s">
        <v>65</v>
      </c>
      <c r="E23" s="13" t="s">
        <v>40</v>
      </c>
      <c r="F23" s="2" t="s">
        <v>34</v>
      </c>
      <c r="G23" t="s">
        <v>19</v>
      </c>
      <c r="H23" s="12" t="str">
        <f t="shared" ref="H23" si="11">HYPERLINK("http://www.eleum.unimaas.nl")</f>
        <v>http://www.eleum.unimaas.nl</v>
      </c>
    </row>
    <row r="24" spans="1:8" x14ac:dyDescent="0.2">
      <c r="A24" s="2" t="s">
        <v>55</v>
      </c>
      <c r="B24" s="2">
        <v>1.4</v>
      </c>
      <c r="C24" s="2">
        <v>16200</v>
      </c>
      <c r="D24" s="11" t="s">
        <v>66</v>
      </c>
      <c r="E24" s="11" t="s">
        <v>41</v>
      </c>
      <c r="F24" s="2" t="s">
        <v>32</v>
      </c>
      <c r="G24" t="s">
        <v>31</v>
      </c>
      <c r="H24" s="12" t="str">
        <f t="shared" ref="H24" si="12">HYPERLINK("http://www.bbc.com")</f>
        <v>http://www.bbc.com</v>
      </c>
    </row>
    <row r="25" spans="1:8" x14ac:dyDescent="0.2">
      <c r="A25" s="2" t="s">
        <v>56</v>
      </c>
      <c r="B25" s="2">
        <v>2.7</v>
      </c>
      <c r="C25" s="2">
        <v>17600</v>
      </c>
      <c r="D25" s="11" t="s">
        <v>67</v>
      </c>
      <c r="E25" s="11" t="s">
        <v>42</v>
      </c>
      <c r="F25" s="2" t="s">
        <v>20</v>
      </c>
      <c r="G25" t="s">
        <v>29</v>
      </c>
      <c r="H25" s="12" t="str">
        <f t="shared" ref="H25" si="13">HYPERLINK("http://www.yahoo.com")</f>
        <v>http://www.yahoo.com</v>
      </c>
    </row>
    <row r="26" spans="1:8" x14ac:dyDescent="0.2">
      <c r="A26" s="2" t="s">
        <v>57</v>
      </c>
      <c r="B26" s="2">
        <v>2.4</v>
      </c>
      <c r="C26" s="2">
        <v>12000</v>
      </c>
      <c r="D26" s="13" t="s">
        <v>64</v>
      </c>
      <c r="E26" s="11" t="s">
        <v>41</v>
      </c>
      <c r="F26" s="2" t="s">
        <v>18</v>
      </c>
      <c r="G26" t="s">
        <v>27</v>
      </c>
      <c r="H26" s="12" t="str">
        <f t="shared" ref="H26" si="14">HYPERLINK("http://www.microsoft.com")</f>
        <v>http://www.microsoft.com</v>
      </c>
    </row>
    <row r="27" spans="1:8" x14ac:dyDescent="0.2">
      <c r="A27" s="2" t="s">
        <v>58</v>
      </c>
      <c r="B27" s="2">
        <v>1.5</v>
      </c>
      <c r="C27" s="2">
        <v>22200</v>
      </c>
      <c r="D27" s="13" t="s">
        <v>65</v>
      </c>
      <c r="E27" s="11" t="s">
        <v>42</v>
      </c>
      <c r="F27" s="2" t="s">
        <v>30</v>
      </c>
      <c r="G27" t="s">
        <v>25</v>
      </c>
      <c r="H27" s="12" t="str">
        <f t="shared" ref="H27" si="15">HYPERLINK("http://www.abc.com")</f>
        <v>http://www.abc.com</v>
      </c>
    </row>
    <row r="28" spans="1:8" x14ac:dyDescent="0.2">
      <c r="A28" s="2" t="s">
        <v>59</v>
      </c>
      <c r="B28" s="2">
        <v>1.3</v>
      </c>
      <c r="C28" s="2">
        <v>28200</v>
      </c>
      <c r="D28" s="11" t="s">
        <v>66</v>
      </c>
      <c r="E28" s="11" t="s">
        <v>42</v>
      </c>
      <c r="F28" s="2" t="s">
        <v>28</v>
      </c>
      <c r="G28" t="s">
        <v>29</v>
      </c>
      <c r="H28" s="12" t="str">
        <f t="shared" ref="H28" si="16">HYPERLINK("http://www.cnn.com")</f>
        <v>http://www.cnn.com</v>
      </c>
    </row>
    <row r="29" spans="1:8" x14ac:dyDescent="0.2">
      <c r="A29" s="2" t="s">
        <v>60</v>
      </c>
      <c r="B29" s="2">
        <v>1.5</v>
      </c>
      <c r="C29" s="2">
        <v>10400</v>
      </c>
      <c r="D29" s="11" t="s">
        <v>67</v>
      </c>
      <c r="E29" s="11" t="s">
        <v>38</v>
      </c>
      <c r="F29" s="2" t="s">
        <v>26</v>
      </c>
      <c r="G29" t="s">
        <v>27</v>
      </c>
      <c r="H29" s="12" t="str">
        <f t="shared" ref="H29" si="17">HYPERLINK("http://www.imdb.com")</f>
        <v>http://www.imdb.com</v>
      </c>
    </row>
    <row r="30" spans="1:8" x14ac:dyDescent="0.2">
      <c r="A30" s="2" t="s">
        <v>61</v>
      </c>
      <c r="B30" s="2">
        <v>2.9</v>
      </c>
      <c r="C30" s="2">
        <v>24000</v>
      </c>
      <c r="D30" s="13" t="s">
        <v>65</v>
      </c>
      <c r="E30" s="11" t="s">
        <v>40</v>
      </c>
      <c r="F30" s="2" t="s">
        <v>24</v>
      </c>
      <c r="G30" t="s">
        <v>25</v>
      </c>
      <c r="H30" s="12" t="str">
        <f t="shared" ref="H30" si="18">HYPERLINK("http://www.wikipedia.com")</f>
        <v>http://www.wikipedia.com</v>
      </c>
    </row>
    <row r="31" spans="1:8" x14ac:dyDescent="0.2">
      <c r="A31" s="2" t="s">
        <v>62</v>
      </c>
      <c r="B31" s="2">
        <v>2.2999999999999998</v>
      </c>
      <c r="C31" s="2">
        <v>15200</v>
      </c>
      <c r="D31" s="11" t="s">
        <v>64</v>
      </c>
      <c r="E31" s="11" t="s">
        <v>40</v>
      </c>
      <c r="F31" s="2" t="s">
        <v>22</v>
      </c>
      <c r="G31" s="14" t="s">
        <v>17</v>
      </c>
      <c r="H31" s="12" t="str">
        <f t="shared" ref="H31" si="19">HYPERLINK("http://www.unimaas.nl")</f>
        <v>http://www.unimaas.nl</v>
      </c>
    </row>
    <row r="32" spans="1:8" x14ac:dyDescent="0.2">
      <c r="E32" s="11"/>
    </row>
    <row r="33" spans="5:5" x14ac:dyDescent="0.2">
      <c r="E33" s="13"/>
    </row>
    <row r="34" spans="5:5" x14ac:dyDescent="0.2">
      <c r="E34" s="11"/>
    </row>
    <row r="35" spans="5:5" x14ac:dyDescent="0.2">
      <c r="E35" s="11"/>
    </row>
    <row r="36" spans="5:5" x14ac:dyDescent="0.2">
      <c r="E36" s="11"/>
    </row>
  </sheetData>
  <sortState ref="F2:H11">
    <sortCondition ref="F2:F11"/>
  </sortState>
  <phoneticPr fontId="1" type="noConversion"/>
  <hyperlinks>
    <hyperlink ref="H2" r:id="rId1" display="http://www.google.com" xr:uid="{00000000-0004-0000-0000-000000000000}"/>
    <hyperlink ref="H10" r:id="rId2" display="http://www.wikipedia.com" xr:uid="{00000000-0004-0000-0000-000001000000}"/>
    <hyperlink ref="H9" r:id="rId3" display="http://www.imdb.com" xr:uid="{00000000-0004-0000-0000-000002000000}"/>
    <hyperlink ref="H8" r:id="rId4" display="http://www.cnn.com" xr:uid="{00000000-0004-0000-0000-000003000000}"/>
    <hyperlink ref="H7" r:id="rId5" display="http://www.abc.com" xr:uid="{00000000-0004-0000-0000-000004000000}"/>
    <hyperlink ref="H6" r:id="rId6" display="http://www.microsoft.com" xr:uid="{00000000-0004-0000-0000-000005000000}"/>
    <hyperlink ref="H5" r:id="rId7" display="http://www.yahoo.com" xr:uid="{00000000-0004-0000-0000-000006000000}"/>
    <hyperlink ref="H4" r:id="rId8" display="http://www.bbc.com" xr:uid="{00000000-0004-0000-0000-000007000000}"/>
    <hyperlink ref="H11" r:id="rId9" display="http://www.unimaas.nl)" xr:uid="{00000000-0004-0000-0000-000008000000}"/>
    <hyperlink ref="H3" r:id="rId10" display="http://www.eleum.unimaas.nl)" xr:uid="{00000000-0004-0000-0000-000009000000}"/>
    <hyperlink ref="H12" r:id="rId11" display="http://www.google.com" xr:uid="{00000000-0004-0000-0000-00000A000000}"/>
    <hyperlink ref="H22" r:id="rId12" display="http://www.google.com" xr:uid="{00000000-0004-0000-0000-00000B000000}"/>
    <hyperlink ref="H20" r:id="rId13" display="http://www.wikipedia.com" xr:uid="{00000000-0004-0000-0000-00000C000000}"/>
    <hyperlink ref="H30" r:id="rId14" display="http://www.wikipedia.com" xr:uid="{00000000-0004-0000-0000-00000D000000}"/>
    <hyperlink ref="H19" r:id="rId15" display="http://www.imdb.com" xr:uid="{00000000-0004-0000-0000-00000E000000}"/>
    <hyperlink ref="H29" r:id="rId16" display="http://www.imdb.com" xr:uid="{00000000-0004-0000-0000-00000F000000}"/>
    <hyperlink ref="H18" r:id="rId17" display="http://www.cnn.com" xr:uid="{00000000-0004-0000-0000-000010000000}"/>
    <hyperlink ref="H28" r:id="rId18" display="http://www.cnn.com" xr:uid="{00000000-0004-0000-0000-000011000000}"/>
    <hyperlink ref="H17" r:id="rId19" display="http://www.abc.com" xr:uid="{00000000-0004-0000-0000-000012000000}"/>
    <hyperlink ref="H27" r:id="rId20" display="http://www.abc.com" xr:uid="{00000000-0004-0000-0000-000013000000}"/>
    <hyperlink ref="H16" r:id="rId21" display="http://www.microsoft.com" xr:uid="{00000000-0004-0000-0000-000014000000}"/>
    <hyperlink ref="H26" r:id="rId22" display="http://www.microsoft.com" xr:uid="{00000000-0004-0000-0000-000015000000}"/>
    <hyperlink ref="H15" r:id="rId23" display="http://www.yahoo.com" xr:uid="{00000000-0004-0000-0000-000016000000}"/>
    <hyperlink ref="H25" r:id="rId24" display="http://www.yahoo.com" xr:uid="{00000000-0004-0000-0000-000017000000}"/>
    <hyperlink ref="H14" r:id="rId25" display="http://www.bbc.com" xr:uid="{00000000-0004-0000-0000-000018000000}"/>
    <hyperlink ref="H24" r:id="rId26" display="http://www.bbc.com" xr:uid="{00000000-0004-0000-0000-000019000000}"/>
    <hyperlink ref="H21" r:id="rId27" display="http://www.unimaas.nl)" xr:uid="{00000000-0004-0000-0000-00001A000000}"/>
    <hyperlink ref="H31" r:id="rId28" display="http://www.unimaas.nl)" xr:uid="{00000000-0004-0000-0000-00001B000000}"/>
    <hyperlink ref="H13" r:id="rId29" display="http://www.eleum.unimaas.nl)" xr:uid="{00000000-0004-0000-0000-00001C000000}"/>
    <hyperlink ref="H23" r:id="rId30" display="http://www.eleum.unimaas.nl)" xr:uid="{00000000-0004-0000-0000-00001D000000}"/>
    <hyperlink ref="I2" r:id="rId31" xr:uid="{00000000-0004-0000-0000-00001E000000}"/>
  </hyperlinks>
  <pageMargins left="0.75" right="0.75" top="1" bottom="1" header="0.5" footer="0.5"/>
  <pageSetup paperSize="9" orientation="portrait" r:id="rId3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7"/>
  <sheetViews>
    <sheetView tabSelected="1" workbookViewId="0">
      <selection activeCell="B4" sqref="B4"/>
    </sheetView>
  </sheetViews>
  <sheetFormatPr defaultRowHeight="12.75" x14ac:dyDescent="0.2"/>
  <cols>
    <col min="1" max="1" width="15.140625" bestFit="1" customWidth="1"/>
    <col min="2" max="2" width="9.140625" style="25"/>
  </cols>
  <sheetData>
    <row r="1" spans="1:9" x14ac:dyDescent="0.2">
      <c r="B1" s="23" t="s">
        <v>74</v>
      </c>
    </row>
    <row r="2" spans="1:9" x14ac:dyDescent="0.2">
      <c r="B2" s="23"/>
    </row>
    <row r="3" spans="1:9" x14ac:dyDescent="0.2">
      <c r="A3" s="6" t="s">
        <v>37</v>
      </c>
      <c r="B3" s="24" t="s">
        <v>75</v>
      </c>
      <c r="D3" s="6" t="s">
        <v>69</v>
      </c>
      <c r="E3" s="14" t="s">
        <v>63</v>
      </c>
      <c r="F3" s="14" t="s">
        <v>64</v>
      </c>
      <c r="G3" s="14" t="s">
        <v>65</v>
      </c>
      <c r="H3" s="14" t="s">
        <v>66</v>
      </c>
      <c r="I3" s="14" t="s">
        <v>67</v>
      </c>
    </row>
    <row r="4" spans="1:9" x14ac:dyDescent="0.2">
      <c r="A4" s="6" t="s">
        <v>70</v>
      </c>
      <c r="B4" s="25">
        <v>10000</v>
      </c>
      <c r="E4" t="b">
        <v>1</v>
      </c>
      <c r="F4" t="b">
        <v>1</v>
      </c>
      <c r="G4" t="b">
        <v>1</v>
      </c>
      <c r="H4" t="b">
        <v>1</v>
      </c>
      <c r="I4" t="b">
        <v>1</v>
      </c>
    </row>
    <row r="5" spans="1:9" x14ac:dyDescent="0.2">
      <c r="A5" s="6" t="s">
        <v>71</v>
      </c>
      <c r="B5" s="25">
        <v>30000</v>
      </c>
      <c r="E5" t="str">
        <f>CONCATENATE(IF(E4,E3,"")," ",IF(F4,F3,"")," ",IF(G4,G3,"")," ",IF(H4,H3,"")," ",IF(I4,I3,""))</f>
        <v>Green Red Blue Silver Black</v>
      </c>
    </row>
    <row r="6" spans="1:9" x14ac:dyDescent="0.2">
      <c r="A6" s="6" t="s">
        <v>73</v>
      </c>
      <c r="B6" s="25" t="b">
        <v>1</v>
      </c>
    </row>
    <row r="7" spans="1:9" x14ac:dyDescent="0.2">
      <c r="A7" s="6" t="s">
        <v>72</v>
      </c>
      <c r="B7" s="25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33"/>
  <sheetViews>
    <sheetView workbookViewId="0">
      <selection activeCell="C2" sqref="C2"/>
    </sheetView>
  </sheetViews>
  <sheetFormatPr defaultColWidth="9.140625" defaultRowHeight="12.75" x14ac:dyDescent="0.2"/>
  <cols>
    <col min="1" max="1" width="6.42578125" style="8" bestFit="1" customWidth="1"/>
    <col min="2" max="2" width="7.28515625" style="8" bestFit="1" customWidth="1"/>
    <col min="3" max="4" width="6" style="8" bestFit="1" customWidth="1"/>
    <col min="5" max="5" width="7.28515625" style="8" bestFit="1" customWidth="1"/>
    <col min="6" max="6" width="8.85546875" style="8" bestFit="1" customWidth="1"/>
    <col min="7" max="7" width="12.5703125" style="8" bestFit="1" customWidth="1"/>
    <col min="8" max="8" width="25.28515625" style="8" bestFit="1" customWidth="1"/>
    <col min="9" max="13" width="10.28515625" style="17" customWidth="1"/>
    <col min="14" max="14" width="13.140625" style="20" bestFit="1" customWidth="1"/>
    <col min="15" max="16384" width="9.140625" style="8"/>
  </cols>
  <sheetData>
    <row r="1" spans="1:15" x14ac:dyDescent="0.2">
      <c r="A1" s="1" t="s">
        <v>3</v>
      </c>
      <c r="B1" s="1" t="s">
        <v>1</v>
      </c>
      <c r="C1" s="1" t="s">
        <v>2</v>
      </c>
      <c r="D1" s="1" t="s">
        <v>36</v>
      </c>
      <c r="E1" s="1" t="s">
        <v>37</v>
      </c>
      <c r="F1" s="7" t="s">
        <v>14</v>
      </c>
      <c r="G1" s="7" t="s">
        <v>15</v>
      </c>
      <c r="H1" s="7" t="s">
        <v>13</v>
      </c>
      <c r="I1" s="15" t="s">
        <v>2</v>
      </c>
      <c r="J1" s="15" t="s">
        <v>37</v>
      </c>
      <c r="K1" s="15" t="s">
        <v>36</v>
      </c>
      <c r="L1" s="15" t="s">
        <v>72</v>
      </c>
      <c r="M1" s="15" t="s">
        <v>76</v>
      </c>
      <c r="N1" s="18" t="s">
        <v>77</v>
      </c>
      <c r="O1" s="7"/>
    </row>
    <row r="2" spans="1:15" x14ac:dyDescent="0.2">
      <c r="A2" s="2" t="s">
        <v>7</v>
      </c>
      <c r="B2" s="2">
        <v>1.5</v>
      </c>
      <c r="C2" s="2">
        <v>10400</v>
      </c>
      <c r="D2" s="11" t="s">
        <v>66</v>
      </c>
      <c r="E2" s="11" t="s">
        <v>41</v>
      </c>
      <c r="F2" s="2" t="s">
        <v>20</v>
      </c>
      <c r="G2" t="s">
        <v>21</v>
      </c>
      <c r="H2" s="12" t="str">
        <f>HYPERLINK("http://www.yahoo.com")</f>
        <v>http://www.yahoo.com</v>
      </c>
      <c r="I2" s="16" t="b">
        <f>OR(AND(C2&lt;=UserData!$B$5,C2&gt;=UserData!$B$4),NOT(UserData!$B$6))</f>
        <v>1</v>
      </c>
      <c r="J2" s="16" t="b">
        <f>OR(E2=UserData!$B$3,"All"=UserData!$B$3)</f>
        <v>1</v>
      </c>
      <c r="K2" s="16" t="b">
        <f>NOT(ISERROR(FIND(D2,UserData!$E$5,1)))</f>
        <v>1</v>
      </c>
      <c r="L2" s="16" t="b">
        <f>B2&gt;=UserData!$B$7</f>
        <v>1</v>
      </c>
      <c r="M2" s="16" t="b">
        <f t="shared" ref="M2:M31" si="0">AND(I2,J2,K2,L2)</f>
        <v>1</v>
      </c>
      <c r="N2" s="19">
        <f t="shared" ref="N2:N31" si="1">COUNTIF(I2:L2,TRUE)</f>
        <v>4</v>
      </c>
      <c r="O2" s="9"/>
    </row>
    <row r="3" spans="1:15" s="10" customFormat="1" ht="12.75" customHeight="1" x14ac:dyDescent="0.2">
      <c r="A3" s="2" t="s">
        <v>10</v>
      </c>
      <c r="B3" s="2">
        <v>1.2</v>
      </c>
      <c r="C3" s="2">
        <v>11800</v>
      </c>
      <c r="D3" s="11" t="s">
        <v>66</v>
      </c>
      <c r="E3" s="11" t="s">
        <v>38</v>
      </c>
      <c r="F3" s="2" t="s">
        <v>28</v>
      </c>
      <c r="G3" t="s">
        <v>29</v>
      </c>
      <c r="H3" s="12" t="str">
        <f>HYPERLINK("http://www.cnn.com")</f>
        <v>http://www.cnn.com</v>
      </c>
      <c r="I3" s="16" t="b">
        <f>OR(AND(C3&lt;=UserData!$B$5,C3&gt;=UserData!$B$4),NOT(UserData!$B$6))</f>
        <v>1</v>
      </c>
      <c r="J3" s="16" t="b">
        <f>OR(E3=UserData!$B$3,"All"=UserData!$B$3)</f>
        <v>1</v>
      </c>
      <c r="K3" s="16" t="b">
        <f>NOT(ISERROR(FIND(D3,UserData!$E$5,1)))</f>
        <v>1</v>
      </c>
      <c r="L3" s="16" t="b">
        <f>B3&gt;=UserData!$B$7</f>
        <v>1</v>
      </c>
      <c r="M3" s="16" t="b">
        <f t="shared" si="0"/>
        <v>1</v>
      </c>
      <c r="N3" s="19">
        <f t="shared" si="1"/>
        <v>4</v>
      </c>
      <c r="O3" s="9"/>
    </row>
    <row r="4" spans="1:15" x14ac:dyDescent="0.2">
      <c r="A4" s="2" t="s">
        <v>44</v>
      </c>
      <c r="B4" s="2">
        <v>2.4</v>
      </c>
      <c r="C4" s="2">
        <v>12000</v>
      </c>
      <c r="D4" s="13" t="s">
        <v>65</v>
      </c>
      <c r="E4" s="11" t="s">
        <v>41</v>
      </c>
      <c r="F4" s="2" t="s">
        <v>34</v>
      </c>
      <c r="G4" t="s">
        <v>19</v>
      </c>
      <c r="H4" s="12" t="str">
        <f>HYPERLINK("http://www.eleum.unimaas.nl")</f>
        <v>http://www.eleum.unimaas.nl</v>
      </c>
      <c r="I4" s="16" t="b">
        <f>OR(AND(C4&lt;=UserData!$B$5,C4&gt;=UserData!$B$4),NOT(UserData!$B$6))</f>
        <v>1</v>
      </c>
      <c r="J4" s="16" t="b">
        <f>OR(E4=UserData!$B$3,"All"=UserData!$B$3)</f>
        <v>1</v>
      </c>
      <c r="K4" s="16" t="b">
        <f>NOT(ISERROR(FIND(D4,UserData!$E$5,1)))</f>
        <v>1</v>
      </c>
      <c r="L4" s="16" t="b">
        <f>B4&gt;=UserData!$B$7</f>
        <v>1</v>
      </c>
      <c r="M4" s="16" t="b">
        <f t="shared" si="0"/>
        <v>1</v>
      </c>
      <c r="N4" s="19">
        <f t="shared" si="1"/>
        <v>4</v>
      </c>
      <c r="O4" s="9"/>
    </row>
    <row r="5" spans="1:15" x14ac:dyDescent="0.2">
      <c r="A5" s="2" t="s">
        <v>53</v>
      </c>
      <c r="B5" s="2">
        <v>1.9</v>
      </c>
      <c r="C5" s="2">
        <v>13000</v>
      </c>
      <c r="D5" s="11" t="s">
        <v>67</v>
      </c>
      <c r="E5" s="11" t="s">
        <v>38</v>
      </c>
      <c r="F5" s="2" t="s">
        <v>16</v>
      </c>
      <c r="G5" t="s">
        <v>21</v>
      </c>
      <c r="H5" s="12" t="str">
        <f>HYPERLINK("http://www.google.com")</f>
        <v>http://www.google.com</v>
      </c>
      <c r="I5" s="16" t="b">
        <f>OR(AND(C5&lt;=UserData!$B$5,C5&gt;=UserData!$B$4),NOT(UserData!$B$6))</f>
        <v>1</v>
      </c>
      <c r="J5" s="16" t="b">
        <f>OR(E5=UserData!$B$3,"All"=UserData!$B$3)</f>
        <v>1</v>
      </c>
      <c r="K5" s="16" t="b">
        <f>NOT(ISERROR(FIND(D5,UserData!$E$5,1)))</f>
        <v>1</v>
      </c>
      <c r="L5" s="16" t="b">
        <f>B5&gt;=UserData!$B$7</f>
        <v>1</v>
      </c>
      <c r="M5" s="16" t="b">
        <f t="shared" si="0"/>
        <v>1</v>
      </c>
      <c r="N5" s="19">
        <f t="shared" si="1"/>
        <v>4</v>
      </c>
      <c r="O5" s="9"/>
    </row>
    <row r="6" spans="1:15" x14ac:dyDescent="0.2">
      <c r="A6" s="2" t="s">
        <v>62</v>
      </c>
      <c r="B6" s="2">
        <v>1.5</v>
      </c>
      <c r="C6" s="2">
        <v>13200</v>
      </c>
      <c r="D6" s="11" t="s">
        <v>64</v>
      </c>
      <c r="E6" s="11" t="s">
        <v>40</v>
      </c>
      <c r="F6" s="2" t="s">
        <v>22</v>
      </c>
      <c r="G6" s="14" t="s">
        <v>17</v>
      </c>
      <c r="H6" s="12" t="str">
        <f>HYPERLINK("http://www.unimaas.nl")</f>
        <v>http://www.unimaas.nl</v>
      </c>
      <c r="I6" s="16" t="b">
        <f>OR(AND(C6&lt;=UserData!$B$5,C6&gt;=UserData!$B$4),NOT(UserData!$B$6))</f>
        <v>1</v>
      </c>
      <c r="J6" s="16" t="b">
        <f>OR(E6=UserData!$B$3,"All"=UserData!$B$3)</f>
        <v>1</v>
      </c>
      <c r="K6" s="16" t="b">
        <f>NOT(ISERROR(FIND(D6,UserData!$E$5,1)))</f>
        <v>1</v>
      </c>
      <c r="L6" s="16" t="b">
        <f>B6&gt;=UserData!$B$7</f>
        <v>1</v>
      </c>
      <c r="M6" s="16" t="b">
        <f t="shared" si="0"/>
        <v>1</v>
      </c>
      <c r="N6" s="19">
        <f t="shared" si="1"/>
        <v>4</v>
      </c>
      <c r="O6" s="9"/>
    </row>
    <row r="7" spans="1:15" x14ac:dyDescent="0.2">
      <c r="A7" s="2" t="s">
        <v>49</v>
      </c>
      <c r="B7" s="2">
        <v>2.2999999999999998</v>
      </c>
      <c r="C7" s="2">
        <v>14800</v>
      </c>
      <c r="D7" s="11" t="s">
        <v>67</v>
      </c>
      <c r="E7" s="11" t="s">
        <v>41</v>
      </c>
      <c r="F7" s="2" t="s">
        <v>28</v>
      </c>
      <c r="G7" t="s">
        <v>31</v>
      </c>
      <c r="H7" s="12" t="str">
        <f>HYPERLINK("http://www.cnn.com")</f>
        <v>http://www.cnn.com</v>
      </c>
      <c r="I7" s="16" t="b">
        <f>OR(AND(C7&lt;=UserData!$B$5,C7&gt;=UserData!$B$4),NOT(UserData!$B$6))</f>
        <v>1</v>
      </c>
      <c r="J7" s="16" t="b">
        <f>OR(E7=UserData!$B$3,"All"=UserData!$B$3)</f>
        <v>1</v>
      </c>
      <c r="K7" s="16" t="b">
        <f>NOT(ISERROR(FIND(D7,UserData!$E$5,1)))</f>
        <v>1</v>
      </c>
      <c r="L7" s="16" t="b">
        <f>B7&gt;=UserData!$B$7</f>
        <v>1</v>
      </c>
      <c r="M7" s="16" t="b">
        <f t="shared" si="0"/>
        <v>1</v>
      </c>
      <c r="N7" s="19">
        <f t="shared" si="1"/>
        <v>4</v>
      </c>
      <c r="O7" s="9"/>
    </row>
    <row r="8" spans="1:15" x14ac:dyDescent="0.2">
      <c r="A8" s="2" t="s">
        <v>50</v>
      </c>
      <c r="B8" s="2">
        <v>2.6</v>
      </c>
      <c r="C8" s="2">
        <v>15200</v>
      </c>
      <c r="D8" s="13" t="s">
        <v>65</v>
      </c>
      <c r="E8" s="11" t="s">
        <v>42</v>
      </c>
      <c r="F8" s="2" t="s">
        <v>26</v>
      </c>
      <c r="G8" t="s">
        <v>29</v>
      </c>
      <c r="H8" s="12" t="str">
        <f>HYPERLINK("http://www.imdb.com")</f>
        <v>http://www.imdb.com</v>
      </c>
      <c r="I8" s="16" t="b">
        <f>OR(AND(C8&lt;=UserData!$B$5,C8&gt;=UserData!$B$4),NOT(UserData!$B$6))</f>
        <v>1</v>
      </c>
      <c r="J8" s="16" t="b">
        <f>OR(E8=UserData!$B$3,"All"=UserData!$B$3)</f>
        <v>1</v>
      </c>
      <c r="K8" s="16" t="b">
        <f>NOT(ISERROR(FIND(D8,UserData!$E$5,1)))</f>
        <v>1</v>
      </c>
      <c r="L8" s="16" t="b">
        <f>B8&gt;=UserData!$B$7</f>
        <v>1</v>
      </c>
      <c r="M8" s="16" t="b">
        <f t="shared" si="0"/>
        <v>1</v>
      </c>
      <c r="N8" s="19">
        <f t="shared" si="1"/>
        <v>4</v>
      </c>
      <c r="O8" s="9"/>
    </row>
    <row r="9" spans="1:15" x14ac:dyDescent="0.2">
      <c r="A9" s="2" t="s">
        <v>5</v>
      </c>
      <c r="B9" s="2">
        <v>2.2999999999999998</v>
      </c>
      <c r="C9" s="2">
        <v>15200</v>
      </c>
      <c r="D9" s="13" t="s">
        <v>64</v>
      </c>
      <c r="E9" s="13" t="s">
        <v>39</v>
      </c>
      <c r="F9" s="2" t="s">
        <v>34</v>
      </c>
      <c r="G9" t="s">
        <v>35</v>
      </c>
      <c r="H9" s="12" t="str">
        <f>HYPERLINK("http://www.eleum.unimaas.nl")</f>
        <v>http://www.eleum.unimaas.nl</v>
      </c>
      <c r="I9" s="16" t="b">
        <f>OR(AND(C9&lt;=UserData!$B$5,C9&gt;=UserData!$B$4),NOT(UserData!$B$6))</f>
        <v>1</v>
      </c>
      <c r="J9" s="16" t="b">
        <f>OR(E9=UserData!$B$3,"All"=UserData!$B$3)</f>
        <v>1</v>
      </c>
      <c r="K9" s="16" t="b">
        <f>NOT(ISERROR(FIND(D9,UserData!$E$5,1)))</f>
        <v>1</v>
      </c>
      <c r="L9" s="16" t="b">
        <f>B9&gt;=UserData!$B$7</f>
        <v>1</v>
      </c>
      <c r="M9" s="16" t="b">
        <f t="shared" si="0"/>
        <v>1</v>
      </c>
      <c r="N9" s="19">
        <f t="shared" si="1"/>
        <v>4</v>
      </c>
      <c r="O9" s="9"/>
    </row>
    <row r="10" spans="1:15" x14ac:dyDescent="0.2">
      <c r="A10" s="2" t="s">
        <v>52</v>
      </c>
      <c r="B10" s="2">
        <v>2.6</v>
      </c>
      <c r="C10" s="2">
        <v>15600</v>
      </c>
      <c r="D10" s="11" t="s">
        <v>66</v>
      </c>
      <c r="E10" s="11" t="s">
        <v>38</v>
      </c>
      <c r="F10" s="2" t="s">
        <v>22</v>
      </c>
      <c r="G10" t="s">
        <v>25</v>
      </c>
      <c r="H10" s="12" t="str">
        <f>HYPERLINK("http://www.unimaas.nl")</f>
        <v>http://www.unimaas.nl</v>
      </c>
      <c r="I10" s="16" t="b">
        <f>OR(AND(C10&lt;=UserData!$B$5,C10&gt;=UserData!$B$4),NOT(UserData!$B$6))</f>
        <v>1</v>
      </c>
      <c r="J10" s="16" t="b">
        <f>OR(E10=UserData!$B$3,"All"=UserData!$B$3)</f>
        <v>1</v>
      </c>
      <c r="K10" s="16" t="b">
        <f>NOT(ISERROR(FIND(D10,UserData!$E$5,1)))</f>
        <v>1</v>
      </c>
      <c r="L10" s="16" t="b">
        <f>B10&gt;=UserData!$B$7</f>
        <v>1</v>
      </c>
      <c r="M10" s="16" t="b">
        <f t="shared" si="0"/>
        <v>1</v>
      </c>
      <c r="N10" s="19">
        <f t="shared" si="1"/>
        <v>4</v>
      </c>
      <c r="O10" s="9"/>
    </row>
    <row r="11" spans="1:15" x14ac:dyDescent="0.2">
      <c r="A11" s="2" t="s">
        <v>58</v>
      </c>
      <c r="B11" s="2">
        <v>2.4</v>
      </c>
      <c r="C11" s="2">
        <v>16000</v>
      </c>
      <c r="D11" s="13" t="s">
        <v>65</v>
      </c>
      <c r="E11" s="11" t="s">
        <v>42</v>
      </c>
      <c r="F11" s="2" t="s">
        <v>30</v>
      </c>
      <c r="G11" t="s">
        <v>25</v>
      </c>
      <c r="H11" s="12" t="str">
        <f>HYPERLINK("http://www.abc.com")</f>
        <v>http://www.abc.com</v>
      </c>
      <c r="I11" s="16" t="b">
        <f>OR(AND(C11&lt;=UserData!$B$5,C11&gt;=UserData!$B$4),NOT(UserData!$B$6))</f>
        <v>1</v>
      </c>
      <c r="J11" s="16" t="b">
        <f>OR(E11=UserData!$B$3,"All"=UserData!$B$3)</f>
        <v>1</v>
      </c>
      <c r="K11" s="16" t="b">
        <f>NOT(ISERROR(FIND(D11,UserData!$E$5,1)))</f>
        <v>1</v>
      </c>
      <c r="L11" s="16" t="b">
        <f>B11&gt;=UserData!$B$7</f>
        <v>1</v>
      </c>
      <c r="M11" s="16" t="b">
        <f t="shared" si="0"/>
        <v>1</v>
      </c>
      <c r="N11" s="19">
        <f t="shared" si="1"/>
        <v>4</v>
      </c>
      <c r="O11" s="9"/>
    </row>
    <row r="12" spans="1:15" x14ac:dyDescent="0.2">
      <c r="A12" s="2" t="s">
        <v>57</v>
      </c>
      <c r="B12" s="2">
        <v>1.4</v>
      </c>
      <c r="C12" s="2">
        <v>16200</v>
      </c>
      <c r="D12" s="13" t="s">
        <v>64</v>
      </c>
      <c r="E12" s="11" t="s">
        <v>41</v>
      </c>
      <c r="F12" s="2" t="s">
        <v>18</v>
      </c>
      <c r="G12" t="s">
        <v>27</v>
      </c>
      <c r="H12" s="12" t="str">
        <f>HYPERLINK("http://www.microsoft.com")</f>
        <v>http://www.microsoft.com</v>
      </c>
      <c r="I12" s="16" t="b">
        <f>OR(AND(C12&lt;=UserData!$B$5,C12&gt;=UserData!$B$4),NOT(UserData!$B$6))</f>
        <v>1</v>
      </c>
      <c r="J12" s="16" t="b">
        <f>OR(E12=UserData!$B$3,"All"=UserData!$B$3)</f>
        <v>1</v>
      </c>
      <c r="K12" s="16" t="b">
        <f>NOT(ISERROR(FIND(D12,UserData!$E$5,1)))</f>
        <v>1</v>
      </c>
      <c r="L12" s="16" t="b">
        <f>B12&gt;=UserData!$B$7</f>
        <v>1</v>
      </c>
      <c r="M12" s="16" t="b">
        <f t="shared" si="0"/>
        <v>1</v>
      </c>
      <c r="N12" s="19">
        <f t="shared" si="1"/>
        <v>4</v>
      </c>
      <c r="O12" s="5"/>
    </row>
    <row r="13" spans="1:15" x14ac:dyDescent="0.2">
      <c r="A13" s="2" t="s">
        <v>43</v>
      </c>
      <c r="B13" s="2">
        <v>1.6</v>
      </c>
      <c r="C13" s="2">
        <v>16800</v>
      </c>
      <c r="D13" s="11" t="s">
        <v>67</v>
      </c>
      <c r="E13" s="13" t="s">
        <v>40</v>
      </c>
      <c r="F13" s="2" t="s">
        <v>16</v>
      </c>
      <c r="G13" t="s">
        <v>21</v>
      </c>
      <c r="H13" s="12" t="str">
        <f>HYPERLINK("http://www.google.com")</f>
        <v>http://www.google.com</v>
      </c>
      <c r="I13" s="16" t="b">
        <f>OR(AND(C13&lt;=UserData!$B$5,C13&gt;=UserData!$B$4),NOT(UserData!$B$6))</f>
        <v>1</v>
      </c>
      <c r="J13" s="16" t="b">
        <f>OR(E13=UserData!$B$3,"All"=UserData!$B$3)</f>
        <v>1</v>
      </c>
      <c r="K13" s="16" t="b">
        <f>NOT(ISERROR(FIND(D13,UserData!$E$5,1)))</f>
        <v>1</v>
      </c>
      <c r="L13" s="16" t="b">
        <f>B13&gt;=UserData!$B$7</f>
        <v>1</v>
      </c>
      <c r="M13" s="16" t="b">
        <f t="shared" si="0"/>
        <v>1</v>
      </c>
      <c r="N13" s="19">
        <f t="shared" si="1"/>
        <v>4</v>
      </c>
      <c r="O13" s="5"/>
    </row>
    <row r="14" spans="1:15" x14ac:dyDescent="0.2">
      <c r="A14" s="2" t="s">
        <v>11</v>
      </c>
      <c r="B14" s="2">
        <v>2.7</v>
      </c>
      <c r="C14" s="2">
        <v>17600</v>
      </c>
      <c r="D14" s="11" t="s">
        <v>67</v>
      </c>
      <c r="E14" s="11" t="s">
        <v>40</v>
      </c>
      <c r="F14" s="2" t="s">
        <v>26</v>
      </c>
      <c r="G14" t="s">
        <v>27</v>
      </c>
      <c r="H14" s="12" t="str">
        <f>HYPERLINK("http://www.imdb.com")</f>
        <v>http://www.imdb.com</v>
      </c>
      <c r="I14" s="16" t="b">
        <f>OR(AND(C14&lt;=UserData!$B$5,C14&gt;=UserData!$B$4),NOT(UserData!$B$6))</f>
        <v>1</v>
      </c>
      <c r="J14" s="16" t="b">
        <f>OR(E14=UserData!$B$3,"All"=UserData!$B$3)</f>
        <v>1</v>
      </c>
      <c r="K14" s="16" t="b">
        <f>NOT(ISERROR(FIND(D14,UserData!$E$5,1)))</f>
        <v>1</v>
      </c>
      <c r="L14" s="16" t="b">
        <f>B14&gt;=UserData!$B$7</f>
        <v>1</v>
      </c>
      <c r="M14" s="16" t="b">
        <f t="shared" si="0"/>
        <v>1</v>
      </c>
      <c r="N14" s="19">
        <f t="shared" si="1"/>
        <v>4</v>
      </c>
    </row>
    <row r="15" spans="1:15" x14ac:dyDescent="0.2">
      <c r="A15" s="2" t="s">
        <v>12</v>
      </c>
      <c r="B15" s="2">
        <v>2.7</v>
      </c>
      <c r="C15" s="2">
        <v>17600</v>
      </c>
      <c r="D15" s="13" t="s">
        <v>65</v>
      </c>
      <c r="E15" s="11" t="s">
        <v>40</v>
      </c>
      <c r="F15" s="2" t="s">
        <v>24</v>
      </c>
      <c r="G15" t="s">
        <v>25</v>
      </c>
      <c r="H15" s="12" t="str">
        <f>HYPERLINK("http://www.wikipedia.com")</f>
        <v>http://www.wikipedia.com</v>
      </c>
      <c r="I15" s="16" t="b">
        <f>OR(AND(C15&lt;=UserData!$B$5,C15&gt;=UserData!$B$4),NOT(UserData!$B$6))</f>
        <v>1</v>
      </c>
      <c r="J15" s="16" t="b">
        <f>OR(E15=UserData!$B$3,"All"=UserData!$B$3)</f>
        <v>1</v>
      </c>
      <c r="K15" s="16" t="b">
        <f>NOT(ISERROR(FIND(D15,UserData!$E$5,1)))</f>
        <v>1</v>
      </c>
      <c r="L15" s="16" t="b">
        <f>B15&gt;=UserData!$B$7</f>
        <v>1</v>
      </c>
      <c r="M15" s="16" t="b">
        <f t="shared" si="0"/>
        <v>1</v>
      </c>
      <c r="N15" s="19">
        <f t="shared" si="1"/>
        <v>4</v>
      </c>
      <c r="O15" s="7"/>
    </row>
    <row r="16" spans="1:15" x14ac:dyDescent="0.2">
      <c r="A16" s="2" t="s">
        <v>60</v>
      </c>
      <c r="B16" s="2">
        <v>2.2000000000000002</v>
      </c>
      <c r="C16" s="2">
        <v>20600</v>
      </c>
      <c r="D16" s="11" t="s">
        <v>67</v>
      </c>
      <c r="E16" s="11" t="s">
        <v>38</v>
      </c>
      <c r="F16" s="2" t="s">
        <v>26</v>
      </c>
      <c r="G16" t="s">
        <v>27</v>
      </c>
      <c r="H16" s="12" t="str">
        <f>HYPERLINK("http://www.imdb.com")</f>
        <v>http://www.imdb.com</v>
      </c>
      <c r="I16" s="16" t="b">
        <f>OR(AND(C16&lt;=UserData!$B$5,C16&gt;=UserData!$B$4),NOT(UserData!$B$6))</f>
        <v>1</v>
      </c>
      <c r="J16" s="16" t="b">
        <f>OR(E16=UserData!$B$3,"All"=UserData!$B$3)</f>
        <v>1</v>
      </c>
      <c r="K16" s="16" t="b">
        <f>NOT(ISERROR(FIND(D16,UserData!$E$5,1)))</f>
        <v>1</v>
      </c>
      <c r="L16" s="16" t="b">
        <f>B16&gt;=UserData!$B$7</f>
        <v>1</v>
      </c>
      <c r="M16" s="16" t="b">
        <f t="shared" si="0"/>
        <v>1</v>
      </c>
      <c r="N16" s="19">
        <f t="shared" si="1"/>
        <v>4</v>
      </c>
      <c r="O16" s="9"/>
    </row>
    <row r="17" spans="1:15" x14ac:dyDescent="0.2">
      <c r="A17" s="2" t="s">
        <v>56</v>
      </c>
      <c r="B17" s="2">
        <v>1.2</v>
      </c>
      <c r="C17" s="2">
        <v>22000</v>
      </c>
      <c r="D17" s="11" t="s">
        <v>67</v>
      </c>
      <c r="E17" s="11" t="s">
        <v>42</v>
      </c>
      <c r="F17" s="2" t="s">
        <v>20</v>
      </c>
      <c r="G17" t="s">
        <v>29</v>
      </c>
      <c r="H17" s="12" t="str">
        <f>HYPERLINK("http://www.yahoo.com")</f>
        <v>http://www.yahoo.com</v>
      </c>
      <c r="I17" s="16" t="b">
        <f>OR(AND(C17&lt;=UserData!$B$5,C17&gt;=UserData!$B$4),NOT(UserData!$B$6))</f>
        <v>1</v>
      </c>
      <c r="J17" s="16" t="b">
        <f>OR(E17=UserData!$B$3,"All"=UserData!$B$3)</f>
        <v>1</v>
      </c>
      <c r="K17" s="16" t="b">
        <f>NOT(ISERROR(FIND(D17,UserData!$E$5,1)))</f>
        <v>1</v>
      </c>
      <c r="L17" s="16" t="b">
        <f>B17&gt;=UserData!$B$7</f>
        <v>1</v>
      </c>
      <c r="M17" s="16" t="b">
        <f t="shared" si="0"/>
        <v>1</v>
      </c>
      <c r="N17" s="19">
        <f t="shared" si="1"/>
        <v>4</v>
      </c>
      <c r="O17" s="9"/>
    </row>
    <row r="18" spans="1:15" x14ac:dyDescent="0.2">
      <c r="A18" s="2" t="s">
        <v>9</v>
      </c>
      <c r="B18" s="2">
        <v>1.5</v>
      </c>
      <c r="C18" s="2">
        <v>22000</v>
      </c>
      <c r="D18" s="13" t="s">
        <v>65</v>
      </c>
      <c r="E18" s="11" t="s">
        <v>42</v>
      </c>
      <c r="F18" s="2" t="s">
        <v>30</v>
      </c>
      <c r="G18" t="s">
        <v>31</v>
      </c>
      <c r="H18" s="12" t="str">
        <f>HYPERLINK("http://www.abc.com")</f>
        <v>http://www.abc.com</v>
      </c>
      <c r="I18" s="16" t="b">
        <f>OR(AND(C18&lt;=UserData!$B$5,C18&gt;=UserData!$B$4),NOT(UserData!$B$6))</f>
        <v>1</v>
      </c>
      <c r="J18" s="16" t="b">
        <f>OR(E18=UserData!$B$3,"All"=UserData!$B$3)</f>
        <v>1</v>
      </c>
      <c r="K18" s="16" t="b">
        <f>NOT(ISERROR(FIND(D18,UserData!$E$5,1)))</f>
        <v>1</v>
      </c>
      <c r="L18" s="16" t="b">
        <f>B18&gt;=UserData!$B$7</f>
        <v>1</v>
      </c>
      <c r="M18" s="16" t="b">
        <f t="shared" si="0"/>
        <v>1</v>
      </c>
      <c r="N18" s="19">
        <f t="shared" si="1"/>
        <v>4</v>
      </c>
      <c r="O18" s="9"/>
    </row>
    <row r="19" spans="1:15" x14ac:dyDescent="0.2">
      <c r="A19" s="2" t="s">
        <v>46</v>
      </c>
      <c r="B19" s="2">
        <v>1.2</v>
      </c>
      <c r="C19" s="2">
        <v>22200</v>
      </c>
      <c r="D19" s="11" t="s">
        <v>67</v>
      </c>
      <c r="E19" s="11" t="s">
        <v>42</v>
      </c>
      <c r="F19" s="2" t="s">
        <v>20</v>
      </c>
      <c r="G19" t="s">
        <v>29</v>
      </c>
      <c r="H19" s="12" t="str">
        <f>HYPERLINK("http://www.yahoo.com")</f>
        <v>http://www.yahoo.com</v>
      </c>
      <c r="I19" s="16" t="b">
        <f>OR(AND(C19&lt;=UserData!$B$5,C19&gt;=UserData!$B$4),NOT(UserData!$B$6))</f>
        <v>1</v>
      </c>
      <c r="J19" s="16" t="b">
        <f>OR(E19=UserData!$B$3,"All"=UserData!$B$3)</f>
        <v>1</v>
      </c>
      <c r="K19" s="16" t="b">
        <f>NOT(ISERROR(FIND(D19,UserData!$E$5,1)))</f>
        <v>1</v>
      </c>
      <c r="L19" s="16" t="b">
        <f>B19&gt;=UserData!$B$7</f>
        <v>1</v>
      </c>
      <c r="M19" s="16" t="b">
        <f t="shared" si="0"/>
        <v>1</v>
      </c>
      <c r="N19" s="19">
        <f t="shared" si="1"/>
        <v>4</v>
      </c>
      <c r="O19" s="9"/>
    </row>
    <row r="20" spans="1:15" x14ac:dyDescent="0.2">
      <c r="A20" s="2" t="s">
        <v>59</v>
      </c>
      <c r="B20" s="2">
        <v>1.5</v>
      </c>
      <c r="C20" s="2">
        <v>22200</v>
      </c>
      <c r="D20" s="11" t="s">
        <v>66</v>
      </c>
      <c r="E20" s="11" t="s">
        <v>42</v>
      </c>
      <c r="F20" s="2" t="s">
        <v>28</v>
      </c>
      <c r="G20" t="s">
        <v>29</v>
      </c>
      <c r="H20" s="12" t="str">
        <f>HYPERLINK("http://www.cnn.com")</f>
        <v>http://www.cnn.com</v>
      </c>
      <c r="I20" s="16" t="b">
        <f>OR(AND(C20&lt;=UserData!$B$5,C20&gt;=UserData!$B$4),NOT(UserData!$B$6))</f>
        <v>1</v>
      </c>
      <c r="J20" s="16" t="b">
        <f>OR(E20=UserData!$B$3,"All"=UserData!$B$3)</f>
        <v>1</v>
      </c>
      <c r="K20" s="16" t="b">
        <f>NOT(ISERROR(FIND(D20,UserData!$E$5,1)))</f>
        <v>1</v>
      </c>
      <c r="L20" s="16" t="b">
        <f>B20&gt;=UserData!$B$7</f>
        <v>1</v>
      </c>
      <c r="M20" s="16" t="b">
        <f t="shared" si="0"/>
        <v>1</v>
      </c>
      <c r="N20" s="19">
        <f t="shared" si="1"/>
        <v>4</v>
      </c>
      <c r="O20" s="9"/>
    </row>
    <row r="21" spans="1:15" x14ac:dyDescent="0.2">
      <c r="A21" s="2" t="s">
        <v>8</v>
      </c>
      <c r="B21" s="2">
        <v>1.5</v>
      </c>
      <c r="C21" s="2">
        <v>22600</v>
      </c>
      <c r="D21" s="11" t="s">
        <v>67</v>
      </c>
      <c r="E21" s="11" t="s">
        <v>42</v>
      </c>
      <c r="F21" s="2" t="s">
        <v>18</v>
      </c>
      <c r="G21" t="s">
        <v>19</v>
      </c>
      <c r="H21" s="12" t="str">
        <f>HYPERLINK("http://www.microsoft.com")</f>
        <v>http://www.microsoft.com</v>
      </c>
      <c r="I21" s="16" t="b">
        <f>OR(AND(C21&lt;=UserData!$B$5,C21&gt;=UserData!$B$4),NOT(UserData!$B$6))</f>
        <v>1</v>
      </c>
      <c r="J21" s="16" t="b">
        <f>OR(E21=UserData!$B$3,"All"=UserData!$B$3)</f>
        <v>1</v>
      </c>
      <c r="K21" s="16" t="b">
        <f>NOT(ISERROR(FIND(D21,UserData!$E$5,1)))</f>
        <v>1</v>
      </c>
      <c r="L21" s="16" t="b">
        <f>B21&gt;=UserData!$B$7</f>
        <v>1</v>
      </c>
      <c r="M21" s="16" t="b">
        <f t="shared" si="0"/>
        <v>1</v>
      </c>
      <c r="N21" s="19">
        <f t="shared" si="1"/>
        <v>4</v>
      </c>
      <c r="O21" s="9"/>
    </row>
    <row r="22" spans="1:15" x14ac:dyDescent="0.2">
      <c r="A22" s="2" t="s">
        <v>6</v>
      </c>
      <c r="B22" s="2">
        <v>2.4</v>
      </c>
      <c r="C22" s="2">
        <v>22600</v>
      </c>
      <c r="D22" s="13" t="s">
        <v>65</v>
      </c>
      <c r="E22" s="13" t="s">
        <v>40</v>
      </c>
      <c r="F22" s="2" t="s">
        <v>32</v>
      </c>
      <c r="G22" t="s">
        <v>33</v>
      </c>
      <c r="H22" s="12" t="str">
        <f>HYPERLINK("http://www.bbc.com")</f>
        <v>http://www.bbc.com</v>
      </c>
      <c r="I22" s="16" t="b">
        <f>OR(AND(C22&lt;=UserData!$B$5,C22&gt;=UserData!$B$4),NOT(UserData!$B$6))</f>
        <v>1</v>
      </c>
      <c r="J22" s="16" t="b">
        <f>OR(E22=UserData!$B$3,"All"=UserData!$B$3)</f>
        <v>1</v>
      </c>
      <c r="K22" s="16" t="b">
        <f>NOT(ISERROR(FIND(D22,UserData!$E$5,1)))</f>
        <v>1</v>
      </c>
      <c r="L22" s="16" t="b">
        <f>B22&gt;=UserData!$B$7</f>
        <v>1</v>
      </c>
      <c r="M22" s="16" t="b">
        <f t="shared" si="0"/>
        <v>1</v>
      </c>
      <c r="N22" s="19">
        <f t="shared" si="1"/>
        <v>4</v>
      </c>
      <c r="O22" s="9"/>
    </row>
    <row r="23" spans="1:15" x14ac:dyDescent="0.2">
      <c r="A23" s="2" t="s">
        <v>48</v>
      </c>
      <c r="B23" s="2">
        <v>1.7</v>
      </c>
      <c r="C23" s="2">
        <v>23200</v>
      </c>
      <c r="D23" s="11" t="s">
        <v>66</v>
      </c>
      <c r="E23" s="13" t="s">
        <v>40</v>
      </c>
      <c r="F23" s="2" t="s">
        <v>30</v>
      </c>
      <c r="G23" t="s">
        <v>25</v>
      </c>
      <c r="H23" s="12" t="str">
        <f>HYPERLINK("http://www.abc.com")</f>
        <v>http://www.abc.com</v>
      </c>
      <c r="I23" s="16" t="b">
        <f>OR(AND(C23&lt;=UserData!$B$5,C23&gt;=UserData!$B$4),NOT(UserData!$B$6))</f>
        <v>1</v>
      </c>
      <c r="J23" s="16" t="b">
        <f>OR(E23=UserData!$B$3,"All"=UserData!$B$3)</f>
        <v>1</v>
      </c>
      <c r="K23" s="16" t="b">
        <f>NOT(ISERROR(FIND(D23,UserData!$E$5,1)))</f>
        <v>1</v>
      </c>
      <c r="L23" s="16" t="b">
        <f>B23&gt;=UserData!$B$7</f>
        <v>1</v>
      </c>
      <c r="M23" s="16" t="b">
        <f t="shared" si="0"/>
        <v>1</v>
      </c>
      <c r="N23" s="19">
        <f t="shared" si="1"/>
        <v>4</v>
      </c>
      <c r="O23" s="9"/>
    </row>
    <row r="24" spans="1:15" x14ac:dyDescent="0.2">
      <c r="A24" s="2" t="s">
        <v>4</v>
      </c>
      <c r="B24" s="2">
        <v>1.8</v>
      </c>
      <c r="C24" s="2">
        <v>23600</v>
      </c>
      <c r="D24" s="13" t="s">
        <v>63</v>
      </c>
      <c r="E24" s="13" t="s">
        <v>38</v>
      </c>
      <c r="F24" s="2" t="s">
        <v>16</v>
      </c>
      <c r="G24" t="s">
        <v>17</v>
      </c>
      <c r="H24" s="12" t="str">
        <f>HYPERLINK("http://www.google.com")</f>
        <v>http://www.google.com</v>
      </c>
      <c r="I24" s="16" t="b">
        <f>OR(AND(C24&lt;=UserData!$B$5,C24&gt;=UserData!$B$4),NOT(UserData!$B$6))</f>
        <v>1</v>
      </c>
      <c r="J24" s="16" t="b">
        <f>OR(E24=UserData!$B$3,"All"=UserData!$B$3)</f>
        <v>1</v>
      </c>
      <c r="K24" s="16" t="b">
        <f>NOT(ISERROR(FIND(D24,UserData!$E$5,1)))</f>
        <v>1</v>
      </c>
      <c r="L24" s="16" t="b">
        <f>B24&gt;=UserData!$B$7</f>
        <v>1</v>
      </c>
      <c r="M24" s="16" t="b">
        <f t="shared" si="0"/>
        <v>1</v>
      </c>
      <c r="N24" s="19">
        <f t="shared" si="1"/>
        <v>4</v>
      </c>
      <c r="O24" s="9"/>
    </row>
    <row r="25" spans="1:15" x14ac:dyDescent="0.2">
      <c r="A25" s="2" t="s">
        <v>61</v>
      </c>
      <c r="B25" s="2">
        <v>2.9</v>
      </c>
      <c r="C25" s="2">
        <v>24000</v>
      </c>
      <c r="D25" s="13" t="s">
        <v>65</v>
      </c>
      <c r="E25" s="11" t="s">
        <v>40</v>
      </c>
      <c r="F25" s="2" t="s">
        <v>24</v>
      </c>
      <c r="G25" t="s">
        <v>25</v>
      </c>
      <c r="H25" s="12" t="str">
        <f>HYPERLINK("http://www.wikipedia.com")</f>
        <v>http://www.wikipedia.com</v>
      </c>
      <c r="I25" s="16" t="b">
        <f>OR(AND(C25&lt;=UserData!$B$5,C25&gt;=UserData!$B$4),NOT(UserData!$B$6))</f>
        <v>1</v>
      </c>
      <c r="J25" s="16" t="b">
        <f>OR(E25=UserData!$B$3,"All"=UserData!$B$3)</f>
        <v>1</v>
      </c>
      <c r="K25" s="16" t="b">
        <f>NOT(ISERROR(FIND(D25,UserData!$E$5,1)))</f>
        <v>1</v>
      </c>
      <c r="L25" s="16" t="b">
        <f>B25&gt;=UserData!$B$7</f>
        <v>1</v>
      </c>
      <c r="M25" s="16" t="b">
        <f t="shared" si="0"/>
        <v>1</v>
      </c>
      <c r="N25" s="19">
        <f t="shared" si="1"/>
        <v>4</v>
      </c>
      <c r="O25" s="9"/>
    </row>
    <row r="26" spans="1:15" x14ac:dyDescent="0.2">
      <c r="A26" s="2" t="s">
        <v>54</v>
      </c>
      <c r="B26" s="2">
        <v>2.2999999999999998</v>
      </c>
      <c r="C26" s="2">
        <v>24200</v>
      </c>
      <c r="D26" s="13" t="s">
        <v>65</v>
      </c>
      <c r="E26" s="13" t="s">
        <v>40</v>
      </c>
      <c r="F26" s="2" t="s">
        <v>34</v>
      </c>
      <c r="G26" t="s">
        <v>19</v>
      </c>
      <c r="H26" s="12" t="str">
        <f>HYPERLINK("http://www.eleum.unimaas.nl")</f>
        <v>http://www.eleum.unimaas.nl</v>
      </c>
      <c r="I26" s="16" t="b">
        <f>OR(AND(C26&lt;=UserData!$B$5,C26&gt;=UserData!$B$4),NOT(UserData!$B$6))</f>
        <v>1</v>
      </c>
      <c r="J26" s="16" t="b">
        <f>OR(E26=UserData!$B$3,"All"=UserData!$B$3)</f>
        <v>1</v>
      </c>
      <c r="K26" s="16" t="b">
        <f>NOT(ISERROR(FIND(D26,UserData!$E$5,1)))</f>
        <v>1</v>
      </c>
      <c r="L26" s="16" t="b">
        <f>B26&gt;=UserData!$B$7</f>
        <v>1</v>
      </c>
      <c r="M26" s="16" t="b">
        <f t="shared" si="0"/>
        <v>1</v>
      </c>
      <c r="N26" s="19">
        <f t="shared" si="1"/>
        <v>4</v>
      </c>
    </row>
    <row r="27" spans="1:15" x14ac:dyDescent="0.2">
      <c r="A27" s="2" t="s">
        <v>0</v>
      </c>
      <c r="B27" s="2">
        <v>2.2999999999999998</v>
      </c>
      <c r="C27" s="2">
        <v>24400</v>
      </c>
      <c r="D27" s="11" t="s">
        <v>66</v>
      </c>
      <c r="E27" s="11" t="s">
        <v>38</v>
      </c>
      <c r="F27" s="2" t="s">
        <v>22</v>
      </c>
      <c r="G27" t="s">
        <v>23</v>
      </c>
      <c r="H27" s="12" t="str">
        <f>HYPERLINK("http://www.unimaas.nl")</f>
        <v>http://www.unimaas.nl</v>
      </c>
      <c r="I27" s="16" t="b">
        <f>OR(AND(C27&lt;=UserData!$B$5,C27&gt;=UserData!$B$4),NOT(UserData!$B$6))</f>
        <v>1</v>
      </c>
      <c r="J27" s="16" t="b">
        <f>OR(E27=UserData!$B$3,"All"=UserData!$B$3)</f>
        <v>1</v>
      </c>
      <c r="K27" s="16" t="b">
        <f>NOT(ISERROR(FIND(D27,UserData!$E$5,1)))</f>
        <v>1</v>
      </c>
      <c r="L27" s="16" t="b">
        <f>B27&gt;=UserData!$B$7</f>
        <v>1</v>
      </c>
      <c r="M27" s="16" t="b">
        <f t="shared" si="0"/>
        <v>1</v>
      </c>
      <c r="N27" s="19">
        <f t="shared" si="1"/>
        <v>4</v>
      </c>
    </row>
    <row r="28" spans="1:15" x14ac:dyDescent="0.2">
      <c r="A28" s="2" t="s">
        <v>55</v>
      </c>
      <c r="B28" s="2">
        <v>2.8</v>
      </c>
      <c r="C28" s="2">
        <v>25600</v>
      </c>
      <c r="D28" s="11" t="s">
        <v>66</v>
      </c>
      <c r="E28" s="11" t="s">
        <v>41</v>
      </c>
      <c r="F28" s="2" t="s">
        <v>32</v>
      </c>
      <c r="G28" t="s">
        <v>31</v>
      </c>
      <c r="H28" s="12" t="str">
        <f>HYPERLINK("http://www.bbc.com")</f>
        <v>http://www.bbc.com</v>
      </c>
      <c r="I28" s="16" t="b">
        <f>OR(AND(C28&lt;=UserData!$B$5,C28&gt;=UserData!$B$4),NOT(UserData!$B$6))</f>
        <v>1</v>
      </c>
      <c r="J28" s="16" t="b">
        <f>OR(E28=UserData!$B$3,"All"=UserData!$B$3)</f>
        <v>1</v>
      </c>
      <c r="K28" s="16" t="b">
        <f>NOT(ISERROR(FIND(D28,UserData!$E$5,1)))</f>
        <v>1</v>
      </c>
      <c r="L28" s="16" t="b">
        <f>B28&gt;=UserData!$B$7</f>
        <v>1</v>
      </c>
      <c r="M28" s="16" t="b">
        <f t="shared" si="0"/>
        <v>1</v>
      </c>
      <c r="N28" s="19">
        <f t="shared" si="1"/>
        <v>4</v>
      </c>
    </row>
    <row r="29" spans="1:15" x14ac:dyDescent="0.2">
      <c r="A29" s="2" t="s">
        <v>47</v>
      </c>
      <c r="B29" s="2">
        <v>2.5</v>
      </c>
      <c r="C29" s="2">
        <v>27800</v>
      </c>
      <c r="D29" s="13" t="s">
        <v>65</v>
      </c>
      <c r="E29" s="11" t="s">
        <v>38</v>
      </c>
      <c r="F29" s="2" t="s">
        <v>18</v>
      </c>
      <c r="G29" t="s">
        <v>27</v>
      </c>
      <c r="H29" s="12" t="str">
        <f>HYPERLINK("http://www.microsoft.com")</f>
        <v>http://www.microsoft.com</v>
      </c>
      <c r="I29" s="16" t="b">
        <f>OR(AND(C29&lt;=UserData!$B$5,C29&gt;=UserData!$B$4),NOT(UserData!$B$6))</f>
        <v>1</v>
      </c>
      <c r="J29" s="16" t="b">
        <f>OR(E29=UserData!$B$3,"All"=UserData!$B$3)</f>
        <v>1</v>
      </c>
      <c r="K29" s="16" t="b">
        <f>NOT(ISERROR(FIND(D29,UserData!$E$5,1)))</f>
        <v>1</v>
      </c>
      <c r="L29" s="16" t="b">
        <f>B29&gt;=UserData!$B$7</f>
        <v>1</v>
      </c>
      <c r="M29" s="16" t="b">
        <f t="shared" si="0"/>
        <v>1</v>
      </c>
      <c r="N29" s="19">
        <f t="shared" si="1"/>
        <v>4</v>
      </c>
    </row>
    <row r="30" spans="1:15" x14ac:dyDescent="0.2">
      <c r="A30" s="2" t="s">
        <v>45</v>
      </c>
      <c r="B30" s="2">
        <v>1.3</v>
      </c>
      <c r="C30" s="2">
        <v>28200</v>
      </c>
      <c r="D30" s="11" t="s">
        <v>64</v>
      </c>
      <c r="E30" s="11" t="s">
        <v>42</v>
      </c>
      <c r="F30" s="2" t="s">
        <v>32</v>
      </c>
      <c r="G30" t="s">
        <v>31</v>
      </c>
      <c r="H30" s="12" t="str">
        <f>HYPERLINK("http://www.bbc.com")</f>
        <v>http://www.bbc.com</v>
      </c>
      <c r="I30" s="16" t="b">
        <f>OR(AND(C30&lt;=UserData!$B$5,C30&gt;=UserData!$B$4),NOT(UserData!$B$6))</f>
        <v>1</v>
      </c>
      <c r="J30" s="16" t="b">
        <f>OR(E30=UserData!$B$3,"All"=UserData!$B$3)</f>
        <v>1</v>
      </c>
      <c r="K30" s="16" t="b">
        <f>NOT(ISERROR(FIND(D30,UserData!$E$5,1)))</f>
        <v>1</v>
      </c>
      <c r="L30" s="16" t="b">
        <f>B30&gt;=UserData!$B$7</f>
        <v>1</v>
      </c>
      <c r="M30" s="16" t="b">
        <f t="shared" si="0"/>
        <v>1</v>
      </c>
      <c r="N30" s="19">
        <f t="shared" si="1"/>
        <v>4</v>
      </c>
    </row>
    <row r="31" spans="1:15" x14ac:dyDescent="0.2">
      <c r="A31" s="2" t="s">
        <v>51</v>
      </c>
      <c r="B31" s="2">
        <v>2.2000000000000002</v>
      </c>
      <c r="C31" s="2">
        <v>29400</v>
      </c>
      <c r="D31" s="11" t="s">
        <v>67</v>
      </c>
      <c r="E31" s="11" t="s">
        <v>42</v>
      </c>
      <c r="F31" s="2" t="s">
        <v>24</v>
      </c>
      <c r="G31" t="s">
        <v>27</v>
      </c>
      <c r="H31" s="12" t="str">
        <f>HYPERLINK("http://www.wikipedia.com")</f>
        <v>http://www.wikipedia.com</v>
      </c>
      <c r="I31" s="16" t="b">
        <f>OR(AND(C31&lt;=UserData!$B$5,C31&gt;=UserData!$B$4),NOT(UserData!$B$6))</f>
        <v>1</v>
      </c>
      <c r="J31" s="16" t="b">
        <f>OR(E31=UserData!$B$3,"All"=UserData!$B$3)</f>
        <v>1</v>
      </c>
      <c r="K31" s="16" t="b">
        <f>NOT(ISERROR(FIND(D31,UserData!$E$5,1)))</f>
        <v>1</v>
      </c>
      <c r="L31" s="16" t="b">
        <f>B31&gt;=UserData!$B$7</f>
        <v>1</v>
      </c>
      <c r="M31" s="16" t="b">
        <f t="shared" si="0"/>
        <v>1</v>
      </c>
      <c r="N31" s="19">
        <f t="shared" si="1"/>
        <v>4</v>
      </c>
    </row>
    <row r="33" spans="11:13" x14ac:dyDescent="0.2">
      <c r="K33" s="21" t="s">
        <v>78</v>
      </c>
      <c r="L33" s="22"/>
      <c r="M33" s="22">
        <f>COUNTIF(M2:M31,TRUE)</f>
        <v>30</v>
      </c>
    </row>
  </sheetData>
  <sortState ref="A2:N31">
    <sortCondition descending="1" ref="N2:N31"/>
    <sortCondition ref="C2:C31"/>
  </sortState>
  <phoneticPr fontId="1" type="noConversion"/>
  <hyperlinks>
    <hyperlink ref="H24" r:id="rId1" display="http://www.google.com" xr:uid="{00000000-0004-0000-0200-000000000000}"/>
    <hyperlink ref="H15" r:id="rId2" display="http://www.wikipedia.com" xr:uid="{00000000-0004-0000-0200-000001000000}"/>
    <hyperlink ref="H14" r:id="rId3" display="http://www.imdb.com" xr:uid="{00000000-0004-0000-0200-000002000000}"/>
    <hyperlink ref="H3" r:id="rId4" display="http://www.cnn.com" xr:uid="{00000000-0004-0000-0200-000003000000}"/>
    <hyperlink ref="H18" r:id="rId5" display="http://www.abc.com" xr:uid="{00000000-0004-0000-0200-000004000000}"/>
    <hyperlink ref="H21" r:id="rId6" display="http://www.microsoft.com" xr:uid="{00000000-0004-0000-0200-000005000000}"/>
    <hyperlink ref="H2" r:id="rId7" display="http://www.yahoo.com" xr:uid="{00000000-0004-0000-0200-000006000000}"/>
    <hyperlink ref="H22" r:id="rId8" display="http://www.bbc.com" xr:uid="{00000000-0004-0000-0200-000007000000}"/>
    <hyperlink ref="H27" r:id="rId9" display="http://www.unimaas.nl)" xr:uid="{00000000-0004-0000-0200-000008000000}"/>
    <hyperlink ref="H9" r:id="rId10" display="http://www.eleum.unimaas.nl)" xr:uid="{00000000-0004-0000-0200-000009000000}"/>
    <hyperlink ref="H13" r:id="rId11" display="http://www.google.com" xr:uid="{00000000-0004-0000-0200-00000A000000}"/>
    <hyperlink ref="H5" r:id="rId12" display="http://www.google.com" xr:uid="{00000000-0004-0000-0200-00000B000000}"/>
    <hyperlink ref="H31" r:id="rId13" display="http://www.wikipedia.com" xr:uid="{00000000-0004-0000-0200-00000C000000}"/>
    <hyperlink ref="H25" r:id="rId14" display="http://www.wikipedia.com" xr:uid="{00000000-0004-0000-0200-00000D000000}"/>
    <hyperlink ref="H8" r:id="rId15" display="http://www.imdb.com" xr:uid="{00000000-0004-0000-0200-00000E000000}"/>
    <hyperlink ref="H16" r:id="rId16" display="http://www.imdb.com" xr:uid="{00000000-0004-0000-0200-00000F000000}"/>
    <hyperlink ref="H7" r:id="rId17" display="http://www.cnn.com" xr:uid="{00000000-0004-0000-0200-000010000000}"/>
    <hyperlink ref="H20" r:id="rId18" display="http://www.cnn.com" xr:uid="{00000000-0004-0000-0200-000011000000}"/>
    <hyperlink ref="H23" r:id="rId19" display="http://www.abc.com" xr:uid="{00000000-0004-0000-0200-000012000000}"/>
    <hyperlink ref="H11" r:id="rId20" display="http://www.abc.com" xr:uid="{00000000-0004-0000-0200-000013000000}"/>
    <hyperlink ref="H29" r:id="rId21" display="http://www.microsoft.com" xr:uid="{00000000-0004-0000-0200-000014000000}"/>
    <hyperlink ref="H12" r:id="rId22" display="http://www.microsoft.com" xr:uid="{00000000-0004-0000-0200-000015000000}"/>
    <hyperlink ref="H19" r:id="rId23" display="http://www.yahoo.com" xr:uid="{00000000-0004-0000-0200-000016000000}"/>
    <hyperlink ref="H17" r:id="rId24" display="http://www.yahoo.com" xr:uid="{00000000-0004-0000-0200-000017000000}"/>
    <hyperlink ref="H30" r:id="rId25" display="http://www.bbc.com" xr:uid="{00000000-0004-0000-0200-000018000000}"/>
    <hyperlink ref="H28" r:id="rId26" display="http://www.bbc.com" xr:uid="{00000000-0004-0000-0200-000019000000}"/>
    <hyperlink ref="H10" r:id="rId27" display="http://www.unimaas.nl)" xr:uid="{00000000-0004-0000-0200-00001A000000}"/>
    <hyperlink ref="H6" r:id="rId28" display="http://www.unimaas.nl)" xr:uid="{00000000-0004-0000-0200-00001B000000}"/>
    <hyperlink ref="H4" r:id="rId29" display="http://www.eleum.unimaas.nl)" xr:uid="{00000000-0004-0000-0200-00001C000000}"/>
    <hyperlink ref="H26" r:id="rId30" display="http://www.eleum.unimaas.nl)" xr:uid="{00000000-0004-0000-0200-00001D000000}"/>
  </hyperlink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16"/>
  <sheetViews>
    <sheetView workbookViewId="0">
      <selection activeCell="A2" sqref="A2"/>
    </sheetView>
  </sheetViews>
  <sheetFormatPr defaultRowHeight="12.75" x14ac:dyDescent="0.2"/>
  <sheetData>
    <row r="1" spans="1:4" x14ac:dyDescent="0.2">
      <c r="A1" s="6" t="s">
        <v>68</v>
      </c>
      <c r="D1" s="6"/>
    </row>
    <row r="2" spans="1:4" x14ac:dyDescent="0.2">
      <c r="A2" s="14" t="s">
        <v>75</v>
      </c>
      <c r="D2" s="6"/>
    </row>
    <row r="3" spans="1:4" x14ac:dyDescent="0.2">
      <c r="A3" s="4" t="s">
        <v>38</v>
      </c>
    </row>
    <row r="4" spans="1:4" x14ac:dyDescent="0.2">
      <c r="A4" s="4" t="s">
        <v>40</v>
      </c>
    </row>
    <row r="5" spans="1:4" x14ac:dyDescent="0.2">
      <c r="A5" s="4" t="s">
        <v>42</v>
      </c>
    </row>
    <row r="6" spans="1:4" x14ac:dyDescent="0.2">
      <c r="A6" s="4" t="s">
        <v>39</v>
      </c>
    </row>
    <row r="7" spans="1:4" x14ac:dyDescent="0.2">
      <c r="A7" s="4" t="s">
        <v>41</v>
      </c>
    </row>
    <row r="8" spans="1:4" x14ac:dyDescent="0.2">
      <c r="A8" s="3"/>
      <c r="C8" s="4"/>
    </row>
    <row r="9" spans="1:4" x14ac:dyDescent="0.2">
      <c r="A9" s="3"/>
      <c r="C9" s="4"/>
    </row>
    <row r="10" spans="1:4" x14ac:dyDescent="0.2">
      <c r="A10" s="3"/>
      <c r="C10" s="4"/>
    </row>
    <row r="11" spans="1:4" x14ac:dyDescent="0.2">
      <c r="A11" s="3"/>
      <c r="C11" s="4"/>
    </row>
    <row r="12" spans="1:4" x14ac:dyDescent="0.2">
      <c r="A12" s="3"/>
      <c r="C12" s="4"/>
    </row>
    <row r="13" spans="1:4" x14ac:dyDescent="0.2">
      <c r="A13" s="3"/>
    </row>
    <row r="14" spans="1:4" x14ac:dyDescent="0.2">
      <c r="A14" s="3"/>
    </row>
    <row r="15" spans="1:4" x14ac:dyDescent="0.2">
      <c r="A15" s="3"/>
    </row>
    <row r="16" spans="1:4" x14ac:dyDescent="0.2">
      <c r="A1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UserData</vt:lpstr>
      <vt:lpstr>Calculations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Joyce</dc:creator>
  <cp:lastModifiedBy>Flesch</cp:lastModifiedBy>
  <dcterms:created xsi:type="dcterms:W3CDTF">1996-10-14T23:33:28Z</dcterms:created>
  <dcterms:modified xsi:type="dcterms:W3CDTF">2019-05-14T04:24:17Z</dcterms:modified>
</cp:coreProperties>
</file>